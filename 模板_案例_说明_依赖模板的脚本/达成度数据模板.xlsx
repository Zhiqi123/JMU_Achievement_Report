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000" tabRatio="494"/>
  </bookViews>
  <sheets>
    <sheet name="课程目标达成度计算" sheetId="1" r:id="rId1"/>
    <sheet name="达成度统计" sheetId="10" r:id="rId2"/>
  </sheets>
  <definedNames>
    <definedName name="_xlnm._FilterDatabase" localSheetId="0" hidden="1">课程目标达成度计算!$A$2:$AN$34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<sst xmlns="http://schemas.openxmlformats.org/spreadsheetml/2006/main" count="60" uniqueCount="35">
  <si>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平时成绩（30%）</t>
  </si>
  <si>
    <t>期末成绩（70%）改公式</t>
  </si>
  <si>
    <t>总成绩 改公式</t>
  </si>
  <si>
    <t>达成度</t>
  </si>
  <si>
    <t>达成度平均值</t>
  </si>
  <si>
    <t>达成度期望值</t>
  </si>
  <si>
    <t>算平均值</t>
  </si>
  <si>
    <t>班级</t>
  </si>
  <si>
    <t>学号</t>
  </si>
  <si>
    <t>目标一</t>
  </si>
  <si>
    <t>目标二</t>
  </si>
  <si>
    <t>目标三</t>
  </si>
  <si>
    <t>平时成绩</t>
  </si>
  <si>
    <t>期末成绩</t>
  </si>
  <si>
    <t>总成绩</t>
  </si>
  <si>
    <t>序号</t>
  </si>
  <si>
    <t>姓名</t>
  </si>
  <si>
    <t>目标1</t>
  </si>
  <si>
    <t>目标2</t>
  </si>
  <si>
    <t>目标3</t>
  </si>
  <si>
    <t>总达成度</t>
  </si>
  <si>
    <t>总达成度平均值</t>
  </si>
  <si>
    <t>对应分数</t>
  </si>
  <si>
    <t>人数</t>
  </si>
  <si>
    <t>占比</t>
  </si>
  <si>
    <t>完全达成</t>
  </si>
  <si>
    <t>&gt;0.8</t>
  </si>
  <si>
    <t>较好达成</t>
  </si>
  <si>
    <t>0.6-0.8</t>
  </si>
  <si>
    <t>基本达成</t>
  </si>
  <si>
    <t>0.5-0.6</t>
  </si>
  <si>
    <t>较少达成</t>
  </si>
  <si>
    <t>0.4-0.5</t>
  </si>
  <si>
    <t>没有达成</t>
  </si>
  <si>
    <t>&lt;0.4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</si>
</sst>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_ "/>
  </numFmts>
  <fonts count="3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0.5"/>
      <color theme="1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10" fontId="0" fillId="0" borderId="0" xfId="3" applyNumberFormat="1" applyFont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9" fillId="0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420454545454"/>
          <c:y val="0.0787907866558218"/>
          <c:w val="0.751988636363637"/>
          <c:h val="0.75336343115124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0154962694281393"/>
                  <c:y val="-0.38016855795124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课程目标达成度计算!#REF!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7396864"/>
        <c:axId val="207398784"/>
      </c:barChart>
      <c:catAx>
        <c:axId val="2073968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</a:rPr>
                  <a:t>课程目标</a:t>
                </a:r>
                <a:endParaRPr lang="zh-CN" altLang="en-US" sz="900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398784"/>
        <c:crosses val="autoZero"/>
        <c:auto val="1"/>
        <c:lblAlgn val="ctr"/>
        <c:lblOffset val="100"/>
        <c:noMultiLvlLbl val="0"/>
      </c:catAx>
      <c:valAx>
        <c:axId val="207398784"/>
        <c:scaling>
          <c:orientation val="minMax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</a:rPr>
                  <a:t>课程目标整体达成度</a:t>
                </a:r>
                <a:endParaRPr lang="zh-CN" altLang="en-US" sz="900">
                  <a:solidFill>
                    <a:schemeClr val="tx1">
                      <a:lumMod val="65000"/>
                      <a:lumOff val="35000"/>
                    </a:schemeClr>
                  </a:solidFill>
                  <a:uFillTx/>
                </a:endParaRPr>
              </a:p>
            </c:rich>
          </c:tx>
          <c:layout>
            <c:manualLayout>
              <c:xMode val="edge"/>
              <c:yMode val="edge"/>
              <c:x val="0.0481023175013562"/>
              <c:y val="0.2826636568848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);[Red]\(0.0\)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39686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d531d5-1766-47d5-9d14-50a0d10b52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17474388636"/>
          <c:y val="0.092715990314741"/>
          <c:w val="0.774138531152106"/>
          <c:h val="0.65909080710278"/>
        </c:manualLayout>
      </c:layout>
      <c:scatterChart>
        <c:scatterStyle val="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课程目标达成度计算!$W$3:$W$89</c:f>
              <c:numCache>
                <c:formatCode>0.00_ 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课程目标达成度计算!$Z$3:$Z$89</c:f>
              <c:numCache>
                <c:formatCode>0.000_ </c:formatCode>
                <c:ptCount val="87"/>
                <c:pt idx="0">
                  <c:v>0</c:v>
                </c:pt>
              </c:numCache>
            </c:numRef>
          </c:yVal>
          <c:smooth val="0"/>
        </c:ser>
        <c:ser>
          <c:idx val="2"/>
          <c:order val="2"/>
          <c:spPr>
            <a:ln w="19050" cap="rnd" cmpd="sng" algn="ctr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课程目标达成度计算!$AC$3:$AC$89</c:f>
              <c:numCache>
                <c:formatCode>General</c:formatCode>
                <c:ptCount val="8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20032"/>
        <c:axId val="265679616"/>
      </c:scatterChart>
      <c:valAx>
        <c:axId val="207420032"/>
        <c:scaling>
          <c:orientation val="minMax"/>
          <c:max val="3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学生序号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66689753025209"/>
              <c:y val="0.8579110620063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679616"/>
        <c:crosses val="autoZero"/>
        <c:crossBetween val="midCat"/>
        <c:majorUnit val="5"/>
      </c:valAx>
      <c:valAx>
        <c:axId val="265679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课程目标</a:t>
                </a:r>
                <a:r>
                  <a:rPr lang="en-US" altLang="zh-CN"/>
                  <a:t>1</a:t>
                </a:r>
                <a:r>
                  <a:rPr lang="zh-CN" altLang="en-US"/>
                  <a:t>达成度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531146187045984"/>
              <c:y val="0.4019993636329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42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3c3cb0-6336-49b1-8593-47483da386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17474388637"/>
          <c:y val="0.092715990314741"/>
          <c:w val="0.774138531152107"/>
          <c:h val="0.65909080710278"/>
        </c:manualLayout>
      </c:layout>
      <c:scatterChart>
        <c:scatterStyle val="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课程目标达成度计算!$X$3:$X$89</c:f>
              <c:numCache>
                <c:formatCode>0.00_ 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课程目标达成度计算!$AA$3:$AA$89</c:f>
              <c:numCache>
                <c:formatCode>0.000_ </c:formatCode>
                <c:ptCount val="87"/>
                <c:pt idx="0">
                  <c:v>0</c:v>
                </c:pt>
              </c:numCache>
            </c:numRef>
          </c:yVal>
          <c:smooth val="0"/>
        </c:ser>
        <c:ser>
          <c:idx val="2"/>
          <c:order val="2"/>
          <c:spPr>
            <a:ln w="19050" cap="rnd" cmpd="sng" algn="ctr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课程目标达成度计算!$AD$3:$AD$89</c:f>
              <c:numCache>
                <c:formatCode>General</c:formatCode>
                <c:ptCount val="8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427776"/>
        <c:axId val="266442240"/>
      </c:scatterChart>
      <c:valAx>
        <c:axId val="266427776"/>
        <c:scaling>
          <c:orientation val="minMax"/>
          <c:max val="36"/>
          <c:min val="0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lumMod val="15000"/>
                  <a:lumOff val="85000"/>
                </a:sys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学生序号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66689753025209"/>
              <c:y val="0.8579110620063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442240"/>
        <c:crosses val="autoZero"/>
        <c:crossBetween val="midCat"/>
        <c:majorUnit val="5"/>
      </c:valAx>
      <c:valAx>
        <c:axId val="266442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课程目标</a:t>
                </a:r>
                <a:r>
                  <a:rPr lang="en-US" altLang="zh-CN"/>
                  <a:t>2</a:t>
                </a:r>
                <a:r>
                  <a:rPr lang="zh-CN" altLang="en-US"/>
                  <a:t>达成度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531146187045984"/>
              <c:y val="0.4019993636329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42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d5f6a8c-e1de-4f01-8af0-4464782c4d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17474388637"/>
          <c:y val="0.092715990314741"/>
          <c:w val="0.774138531152107"/>
          <c:h val="0.65909080710278"/>
        </c:manualLayout>
      </c:layout>
      <c:scatterChart>
        <c:scatterStyle val="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课程目标达成度计算!$Y$3:$Y$89</c:f>
              <c:numCache>
                <c:formatCode>0.00_ 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课程目标达成度计算!$AB$3:$AB$89</c:f>
              <c:numCache>
                <c:formatCode>0.000_ </c:formatCode>
                <c:ptCount val="87"/>
                <c:pt idx="0">
                  <c:v>0</c:v>
                </c:pt>
              </c:numCache>
            </c:numRef>
          </c:yVal>
          <c:smooth val="0"/>
        </c:ser>
        <c:ser>
          <c:idx val="2"/>
          <c:order val="2"/>
          <c:spPr>
            <a:ln w="19050" cap="rnd" cmpd="sng" algn="ctr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课程目标达成度计算!$AE$3:$AE$89</c:f>
              <c:numCache>
                <c:formatCode>General</c:formatCode>
                <c:ptCount val="8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89408"/>
        <c:axId val="205095680"/>
      </c:scatterChart>
      <c:valAx>
        <c:axId val="205089408"/>
        <c:scaling>
          <c:orientation val="minMax"/>
          <c:max val="36"/>
          <c:min val="0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lumMod val="15000"/>
                  <a:lumOff val="85000"/>
                </a:sys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学生序号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66689753025209"/>
              <c:y val="0.8579110620063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095680"/>
        <c:crosses val="autoZero"/>
        <c:crossBetween val="midCat"/>
        <c:majorUnit val="5"/>
      </c:valAx>
      <c:valAx>
        <c:axId val="205095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课程目标</a:t>
                </a:r>
                <a:r>
                  <a:rPr lang="en-US" altLang="zh-CN"/>
                  <a:t>3</a:t>
                </a:r>
                <a:r>
                  <a:rPr lang="zh-CN" altLang="en-US"/>
                  <a:t>达成度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531146187045984"/>
              <c:y val="0.4019993636329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08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83f6dd0-da36-4d95-8832-e51bae121b5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17474388637"/>
          <c:y val="0.092715990314741"/>
          <c:w val="0.774138531152107"/>
          <c:h val="0.65909080710278"/>
        </c:manualLayout>
      </c:layout>
      <c:scatterChart>
        <c:scatterStyle val="marker"/>
        <c:varyColors val="0"/>
        <c:ser>
          <c:idx val="0"/>
          <c:order val="0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课程目标达成度计算!$AF$3:$AF$33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课程目标达成度计算!$AG$3:$AG$33</c:f>
              <c:numCache>
                <c:formatCode>0.000_ </c:formatCode>
                <c:ptCount val="31"/>
                <c:pt idx="0">
                  <c:v>0</c:v>
                </c:pt>
              </c:numCache>
            </c:numRef>
          </c:yVal>
          <c:smooth val="0"/>
        </c:ser>
        <c:ser>
          <c:idx val="2"/>
          <c:order val="2"/>
          <c:spPr>
            <a:ln w="19050" cap="rnd" cmpd="sng" algn="ctr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课程目标达成度计算!$I$3:$I$89</c:f>
              <c:numCache>
                <c:formatCode>General</c:formatCod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课程目标达成度计算!$AE$3:$AE$89</c:f>
              <c:numCache>
                <c:formatCode>General</c:formatCode>
                <c:ptCount val="87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57280"/>
        <c:axId val="205467648"/>
      </c:scatterChart>
      <c:valAx>
        <c:axId val="205457280"/>
        <c:scaling>
          <c:orientation val="minMax"/>
          <c:max val="36"/>
          <c:min val="0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lumMod val="15000"/>
                  <a:lumOff val="85000"/>
                </a:sys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学生序号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66689753025209"/>
              <c:y val="0.85791106200639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67648"/>
        <c:crosses val="autoZero"/>
        <c:crossBetween val="midCat"/>
        <c:majorUnit val="5"/>
      </c:valAx>
      <c:valAx>
        <c:axId val="205467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课程总目标达成度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584479520379317"/>
              <c:y val="0.31989046129930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5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a0b2f6-5666-4491-bd59-12749e3c95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课程目标</a:t>
            </a:r>
            <a:r>
              <a:rPr lang="en-US" altLang="zh-CN"/>
              <a:t>1</a:t>
            </a:r>
            <a:r>
              <a:rPr lang="zh-CN" altLang="en-US"/>
              <a:t>达成度人数占比统计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达成度统计!$D$2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达成度统计!$A$3:$A$7</c:f>
              <c:strCache>
                <c:ptCount val="5"/>
                <c:pt idx="0">
                  <c:v>完全达成</c:v>
                </c:pt>
                <c:pt idx="1">
                  <c:v>较好达成</c:v>
                </c:pt>
                <c:pt idx="2">
                  <c:v>基本达成</c:v>
                </c:pt>
                <c:pt idx="3">
                  <c:v>较少达成</c:v>
                </c:pt>
                <c:pt idx="4">
                  <c:v>没有达成</c:v>
                </c:pt>
              </c:strCache>
            </c:strRef>
          </c:cat>
          <c:val>
            <c:numRef>
              <c:f>达成度统计!$D$3:$D$7</c:f>
              <c:numCache>
                <c:formatCode>0.00%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78528"/>
        <c:axId val="205504896"/>
      </c:barChart>
      <c:catAx>
        <c:axId val="2054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504896"/>
        <c:crosses val="autoZero"/>
        <c:auto val="1"/>
        <c:lblAlgn val="ctr"/>
        <c:lblOffset val="100"/>
        <c:noMultiLvlLbl val="0"/>
      </c:catAx>
      <c:valAx>
        <c:axId val="2055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47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a510a0-c336-422a-9ca5-888204a11f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课程目标</a:t>
            </a:r>
            <a:r>
              <a:rPr lang="en-US" altLang="zh-CN"/>
              <a:t>2</a:t>
            </a:r>
            <a:r>
              <a:rPr lang="zh-CN" altLang="en-US"/>
              <a:t>达成度人数占比统计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达成度统计!$F$2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达成度统计!$A$3:$A$7</c:f>
              <c:strCache>
                <c:ptCount val="5"/>
                <c:pt idx="0">
                  <c:v>完全达成</c:v>
                </c:pt>
                <c:pt idx="1">
                  <c:v>较好达成</c:v>
                </c:pt>
                <c:pt idx="2">
                  <c:v>基本达成</c:v>
                </c:pt>
                <c:pt idx="3">
                  <c:v>较少达成</c:v>
                </c:pt>
                <c:pt idx="4">
                  <c:v>没有达成</c:v>
                </c:pt>
              </c:strCache>
            </c:strRef>
          </c:cat>
          <c:val>
            <c:numRef>
              <c:f>达成度统计!$F$3:$F$7</c:f>
              <c:numCache>
                <c:formatCode>0.00%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02816"/>
        <c:axId val="205604352"/>
      </c:barChart>
      <c:catAx>
        <c:axId val="20560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604352"/>
        <c:crosses val="autoZero"/>
        <c:auto val="1"/>
        <c:lblAlgn val="ctr"/>
        <c:lblOffset val="100"/>
        <c:noMultiLvlLbl val="0"/>
      </c:catAx>
      <c:valAx>
        <c:axId val="2056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60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d2589c-6b12-4be6-9118-bc74e150e9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课程目标</a:t>
            </a:r>
            <a:r>
              <a:rPr lang="en-US" altLang="zh-CN"/>
              <a:t>3</a:t>
            </a:r>
            <a:r>
              <a:rPr lang="zh-CN" altLang="en-US"/>
              <a:t>达成度人数占比统计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达成度统计!$H$2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达成度统计!$A$3:$A$7</c:f>
              <c:strCache>
                <c:ptCount val="5"/>
                <c:pt idx="0">
                  <c:v>完全达成</c:v>
                </c:pt>
                <c:pt idx="1">
                  <c:v>较好达成</c:v>
                </c:pt>
                <c:pt idx="2">
                  <c:v>基本达成</c:v>
                </c:pt>
                <c:pt idx="3">
                  <c:v>较少达成</c:v>
                </c:pt>
                <c:pt idx="4">
                  <c:v>没有达成</c:v>
                </c:pt>
              </c:strCache>
            </c:strRef>
          </c:cat>
          <c:val>
            <c:numRef>
              <c:f>达成度统计!$H$3:$H$7</c:f>
              <c:numCache>
                <c:formatCode>0.00%</c:formatCode>
                <c:ptCount val="5"/>
                <c:pt idx="0">
                  <c:v>0.945945945945946</c:v>
                </c:pt>
                <c:pt idx="1">
                  <c:v>0.0540540540540541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24448"/>
        <c:axId val="205625984"/>
      </c:barChart>
      <c:catAx>
        <c:axId val="20562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625984"/>
        <c:crosses val="autoZero"/>
        <c:auto val="1"/>
        <c:lblAlgn val="ctr"/>
        <c:lblOffset val="100"/>
        <c:noMultiLvlLbl val="0"/>
      </c:catAx>
      <c:valAx>
        <c:axId val="20562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62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c13112a-ab08-402b-ac7d-3034a2f76a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248285</xdr:colOff>
      <xdr:row>33</xdr:row>
      <xdr:rowOff>160020</xdr:rowOff>
    </xdr:from>
    <xdr:to>
      <xdr:col>42</xdr:col>
      <xdr:colOff>238760</xdr:colOff>
      <xdr:row>35</xdr:row>
      <xdr:rowOff>124460</xdr:rowOff>
    </xdr:to>
    <xdr:graphicFrame>
      <xdr:nvGraphicFramePr>
        <xdr:cNvPr id="5" name="图表 8"/>
        <xdr:cNvGraphicFramePr/>
      </xdr:nvGraphicFramePr>
      <xdr:xfrm>
        <a:off x="21974810" y="6548120"/>
        <a:ext cx="4924425" cy="34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516255</xdr:colOff>
      <xdr:row>0</xdr:row>
      <xdr:rowOff>635</xdr:rowOff>
    </xdr:from>
    <xdr:to>
      <xdr:col>44</xdr:col>
      <xdr:colOff>565187</xdr:colOff>
      <xdr:row>24</xdr:row>
      <xdr:rowOff>171075</xdr:rowOff>
    </xdr:to>
    <xdr:graphicFrame>
      <xdr:nvGraphicFramePr>
        <xdr:cNvPr id="3" name="图表 2"/>
        <xdr:cNvGraphicFramePr/>
      </xdr:nvGraphicFramePr>
      <xdr:xfrm>
        <a:off x="21626830" y="635"/>
        <a:ext cx="6830695" cy="4843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54239</xdr:colOff>
      <xdr:row>0</xdr:row>
      <xdr:rowOff>298078</xdr:rowOff>
    </xdr:from>
    <xdr:to>
      <xdr:col>56</xdr:col>
      <xdr:colOff>114824</xdr:colOff>
      <xdr:row>25</xdr:row>
      <xdr:rowOff>8965</xdr:rowOff>
    </xdr:to>
    <xdr:graphicFrame>
      <xdr:nvGraphicFramePr>
        <xdr:cNvPr id="6" name="图表 5"/>
        <xdr:cNvGraphicFramePr/>
      </xdr:nvGraphicFramePr>
      <xdr:xfrm>
        <a:off x="28562300" y="297815"/>
        <a:ext cx="6835775" cy="4575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503555</xdr:colOff>
      <xdr:row>25</xdr:row>
      <xdr:rowOff>99695</xdr:rowOff>
    </xdr:from>
    <xdr:to>
      <xdr:col>45</xdr:col>
      <xdr:colOff>6985</xdr:colOff>
      <xdr:row>49</xdr:row>
      <xdr:rowOff>139700</xdr:rowOff>
    </xdr:to>
    <xdr:graphicFrame>
      <xdr:nvGraphicFramePr>
        <xdr:cNvPr id="7" name="图表 6"/>
        <xdr:cNvGraphicFramePr/>
      </xdr:nvGraphicFramePr>
      <xdr:xfrm>
        <a:off x="21614130" y="4963795"/>
        <a:ext cx="6901180" cy="4472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169545</xdr:colOff>
      <xdr:row>26</xdr:row>
      <xdr:rowOff>15240</xdr:rowOff>
    </xdr:from>
    <xdr:to>
      <xdr:col>56</xdr:col>
      <xdr:colOff>229870</xdr:colOff>
      <xdr:row>49</xdr:row>
      <xdr:rowOff>119380</xdr:rowOff>
    </xdr:to>
    <xdr:graphicFrame>
      <xdr:nvGraphicFramePr>
        <xdr:cNvPr id="14" name="图表 13"/>
        <xdr:cNvGraphicFramePr/>
      </xdr:nvGraphicFramePr>
      <xdr:xfrm>
        <a:off x="28677870" y="5069840"/>
        <a:ext cx="6835775" cy="4345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</xdr:colOff>
      <xdr:row>9</xdr:row>
      <xdr:rowOff>7620</xdr:rowOff>
    </xdr:from>
    <xdr:to>
      <xdr:col>7</xdr:col>
      <xdr:colOff>15240</xdr:colOff>
      <xdr:row>24</xdr:row>
      <xdr:rowOff>7620</xdr:rowOff>
    </xdr:to>
    <xdr:graphicFrame>
      <xdr:nvGraphicFramePr>
        <xdr:cNvPr id="2" name="图表 1"/>
        <xdr:cNvGraphicFramePr/>
      </xdr:nvGraphicFramePr>
      <xdr:xfrm>
        <a:off x="22860" y="1607820"/>
        <a:ext cx="467296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129540</xdr:colOff>
      <xdr:row>9</xdr:row>
      <xdr:rowOff>22860</xdr:rowOff>
    </xdr:from>
    <xdr:to>
      <xdr:col>14</xdr:col>
      <xdr:colOff>487680</xdr:colOff>
      <xdr:row>24</xdr:row>
      <xdr:rowOff>22860</xdr:rowOff>
    </xdr:to>
    <xdr:graphicFrame>
      <xdr:nvGraphicFramePr>
        <xdr:cNvPr id="3" name="图表 2"/>
        <xdr:cNvGraphicFramePr/>
      </xdr:nvGraphicFramePr>
      <xdr:xfrm>
        <a:off x="4810125" y="1623060"/>
        <a:ext cx="466979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586740</xdr:colOff>
      <xdr:row>8</xdr:row>
      <xdr:rowOff>160020</xdr:rowOff>
    </xdr:from>
    <xdr:to>
      <xdr:col>22</xdr:col>
      <xdr:colOff>342900</xdr:colOff>
      <xdr:row>23</xdr:row>
      <xdr:rowOff>160020</xdr:rowOff>
    </xdr:to>
    <xdr:graphicFrame>
      <xdr:nvGraphicFramePr>
        <xdr:cNvPr id="4" name="图表 3"/>
        <xdr:cNvGraphicFramePr/>
      </xdr:nvGraphicFramePr>
      <xdr:xfrm>
        <a:off x="9578975" y="1582420"/>
        <a:ext cx="468376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N94"/>
  <sheetViews>
    <sheetView tabSelected="1" zoomScale="85" zoomScaleNormal="85" workbookViewId="0">
      <selection activeCell="Z9" sqref="Z9"/>
    </sheetView>
  </sheetViews>
  <sheetFormatPr defaultColWidth="8.81818181818182" defaultRowHeight="14"/>
  <cols>
    <col min="1" max="1" width="10.7" style="1" customWidth="1"/>
    <col min="2" max="2" width="16.4545454545455" style="6" customWidth="1"/>
    <col min="3" max="5" width="8.71818181818182" style="1"/>
    <col min="6" max="6" width="10.1818181818182" style="6" customWidth="1"/>
    <col min="7" max="7" width="8.71818181818182" style="6"/>
    <col min="8" max="8" width="9.18181818181818" style="6"/>
    <col min="9" max="9" width="5.37272727272727" style="7" customWidth="1"/>
    <col min="10" max="10" width="8.71818181818182" style="1"/>
    <col min="11" max="14" width="10.1818181818182" style="6" customWidth="1"/>
    <col min="15" max="22" width="7.62727272727273" style="8" customWidth="1"/>
    <col min="23" max="23" width="9" style="9" customWidth="1"/>
    <col min="24" max="24" width="9.37272727272727" style="9" customWidth="1"/>
    <col min="25" max="25" width="10.2727272727273" style="9" customWidth="1"/>
    <col min="26" max="26" width="11.6272727272727" style="10" customWidth="1"/>
    <col min="27" max="28" width="7.09090909090909" style="10" customWidth="1"/>
    <col min="29" max="29" width="5.90909090909091" style="10" customWidth="1"/>
    <col min="30" max="31" width="6" style="10" customWidth="1"/>
    <col min="32" max="33" width="11.9090909090909" style="10" customWidth="1"/>
    <col min="34" max="38" width="8.81818181818182" style="10"/>
    <col min="39" max="39" width="12.0909090909091" style="10" customWidth="1"/>
    <col min="40" max="40" width="14.4545454545455" style="10" customWidth="1"/>
    <col min="41" max="16384" width="8.81818181818182" style="10"/>
  </cols>
  <sheetData>
    <row r="1" s="5" customFormat="1" ht="24" customHeight="1" spans="1:34">
      <c r="A1" s="11"/>
      <c r="B1" s="12"/>
      <c r="C1" s="11">
        <v>50</v>
      </c>
      <c r="D1" s="11">
        <v>30</v>
      </c>
      <c r="E1" s="11">
        <v>20</v>
      </c>
      <c r="F1" s="12"/>
      <c r="G1" s="12"/>
      <c r="H1" s="12"/>
      <c r="I1" s="13"/>
      <c r="J1" s="11"/>
      <c r="K1" s="14" t="s">
        <v>0</v>
      </c>
      <c r="L1" s="14"/>
      <c r="M1" s="14"/>
      <c r="N1" s="14"/>
      <c r="O1" s="14" t="s">
        <v>1</v>
      </c>
      <c r="P1" s="14"/>
      <c r="Q1" s="14"/>
      <c r="R1" s="14"/>
      <c r="S1" s="14" t="s">
        <v>2</v>
      </c>
      <c r="T1" s="14"/>
      <c r="U1" s="14"/>
      <c r="V1" s="14"/>
      <c r="W1" s="15" t="s">
        <v>3</v>
      </c>
      <c r="X1" s="15"/>
      <c r="Y1" s="15"/>
      <c r="Z1" s="15" t="s">
        <v>4</v>
      </c>
      <c r="AA1" s="15"/>
      <c r="AB1" s="15"/>
      <c r="AC1" s="15" t="s">
        <v>5</v>
      </c>
      <c r="AD1" s="15"/>
      <c r="AE1" s="15"/>
      <c r="AF1" s="15" t="s">
        <v>6</v>
      </c>
      <c r="AG1" s="15"/>
      <c r="AH1" s="16"/>
    </row>
    <row r="2" s="5" customFormat="1" spans="1:34">
      <c r="A2" s="17" t="s">
        <v>7</v>
      </c>
      <c r="B2" s="18" t="s">
        <v>8</v>
      </c>
      <c r="C2" s="19" t="s">
        <v>9</v>
      </c>
      <c r="D2" s="19" t="s">
        <v>10</v>
      </c>
      <c r="E2" s="19" t="s">
        <v>11</v>
      </c>
      <c r="F2" s="18" t="s">
        <v>12</v>
      </c>
      <c r="G2" s="20" t="s">
        <v>13</v>
      </c>
      <c r="H2" s="18" t="s">
        <v>14</v>
      </c>
      <c r="I2" s="21" t="s">
        <v>15</v>
      </c>
      <c r="J2" s="17" t="s">
        <v>16</v>
      </c>
      <c r="K2" s="18" t="s">
        <v>17</v>
      </c>
      <c r="L2" s="18" t="s">
        <v>18</v>
      </c>
      <c r="M2" s="18" t="s">
        <v>19</v>
      </c>
      <c r="N2" s="18" t="s">
        <v>12</v>
      </c>
      <c r="O2" s="22" t="s">
        <v>17</v>
      </c>
      <c r="P2" s="22" t="s">
        <v>18</v>
      </c>
      <c r="Q2" s="22" t="s">
        <v>19</v>
      </c>
      <c r="R2" s="22" t="s">
        <v>13</v>
      </c>
      <c r="S2" s="22" t="s">
        <v>17</v>
      </c>
      <c r="T2" s="22" t="s">
        <v>18</v>
      </c>
      <c r="U2" s="22" t="s">
        <v>19</v>
      </c>
      <c r="V2" s="22" t="s">
        <v>14</v>
      </c>
      <c r="W2" s="23" t="s">
        <v>17</v>
      </c>
      <c r="X2" s="23" t="s">
        <v>18</v>
      </c>
      <c r="Y2" s="23" t="s">
        <v>19</v>
      </c>
      <c r="Z2" s="17" t="s">
        <v>17</v>
      </c>
      <c r="AA2" s="17" t="s">
        <v>18</v>
      </c>
      <c r="AB2" s="17" t="s">
        <v>19</v>
      </c>
      <c r="AC2" s="17" t="s">
        <v>17</v>
      </c>
      <c r="AD2" s="17" t="s">
        <v>18</v>
      </c>
      <c r="AE2" s="17" t="s">
        <v>19</v>
      </c>
      <c r="AF2" s="17" t="s">
        <v>20</v>
      </c>
      <c r="AG2" s="17" t="s">
        <v>21</v>
      </c>
      <c r="AH2" s="17">
        <v>0</v>
      </c>
    </row>
    <row r="3" s="5" customFormat="1" ht="15" spans="1:34">
      <c r="A3" s="24"/>
      <c r="B3" s="25"/>
      <c r="C3" s="26"/>
      <c r="D3" s="26"/>
      <c r="E3" s="26"/>
      <c r="F3" s="26"/>
      <c r="G3" s="26"/>
      <c r="H3" s="26"/>
      <c r="I3" s="27">
        <v>1</v>
      </c>
      <c r="J3" s="25"/>
      <c r="K3" s="28">
        <f>F3</f>
        <v>0</v>
      </c>
      <c r="L3" s="29">
        <f>K3</f>
        <v>0</v>
      </c>
      <c r="M3" s="29">
        <f t="shared" ref="L3:N3" si="0">L3</f>
        <v>0</v>
      </c>
      <c r="N3" s="29">
        <f t="shared" si="0"/>
        <v>0</v>
      </c>
      <c r="O3" s="22">
        <f>(C3/50)*100</f>
        <v>0</v>
      </c>
      <c r="P3" s="22">
        <f>(D3/30)*100</f>
        <v>0</v>
      </c>
      <c r="Q3" s="22">
        <f>(E3/20)*100</f>
        <v>0</v>
      </c>
      <c r="R3" s="22">
        <f t="shared" ref="R3:R13" si="1">SUM(C3:E3)</f>
        <v>0</v>
      </c>
      <c r="S3" s="22">
        <f t="shared" ref="S3:S13" si="2">K3*0.3+O3*0.7</f>
        <v>0</v>
      </c>
      <c r="T3" s="22">
        <f t="shared" ref="T3:T13" si="3">L3*0.3+P3*0.7</f>
        <v>0</v>
      </c>
      <c r="U3" s="22">
        <f t="shared" ref="U3:U13" si="4">M3*0.3+Q3*0.7</f>
        <v>0</v>
      </c>
      <c r="V3" s="22">
        <f t="shared" ref="V3:V13" si="5">H3</f>
        <v>0</v>
      </c>
      <c r="W3" s="30">
        <f t="shared" ref="W3:W13" si="6">S3/100</f>
        <v>0</v>
      </c>
      <c r="X3" s="30">
        <f t="shared" ref="X3:X13" si="7">T3/100</f>
        <v>0</v>
      </c>
      <c r="Y3" s="30">
        <f t="shared" ref="Y3:Y13" si="8">U3/100</f>
        <v>0</v>
      </c>
      <c r="Z3" s="31">
        <f>AVERAGE(W3:W36)</f>
        <v>0</v>
      </c>
      <c r="AA3" s="31">
        <f>AVERAGE(X3:X36)</f>
        <v>0</v>
      </c>
      <c r="AB3" s="31">
        <f>AVERAGE(Y3:Y36)</f>
        <v>0</v>
      </c>
      <c r="AC3" s="17">
        <v>0.6</v>
      </c>
      <c r="AD3" s="17">
        <v>0.6</v>
      </c>
      <c r="AE3" s="17">
        <v>0.6</v>
      </c>
      <c r="AF3" s="17">
        <f t="shared" ref="AF3:AF13" si="9">V3/100</f>
        <v>0</v>
      </c>
      <c r="AG3" s="31">
        <f>AVERAGE(AF3:AF38)</f>
        <v>0</v>
      </c>
      <c r="AH3" s="21"/>
    </row>
    <row r="4" s="5" customFormat="1" ht="15" spans="1:34">
      <c r="A4" s="24"/>
      <c r="B4" s="25"/>
      <c r="C4" s="26"/>
      <c r="D4" s="26"/>
      <c r="E4" s="26"/>
      <c r="F4" s="26"/>
      <c r="G4" s="26"/>
      <c r="H4" s="26"/>
      <c r="I4" s="27">
        <v>2</v>
      </c>
      <c r="J4" s="25"/>
      <c r="K4" s="28">
        <f t="shared" ref="K4:K13" si="10">F4</f>
        <v>0</v>
      </c>
      <c r="L4" s="29">
        <f t="shared" ref="L4:L13" si="11">K4</f>
        <v>0</v>
      </c>
      <c r="M4" s="29">
        <f t="shared" ref="M4:M13" si="12">L4</f>
        <v>0</v>
      </c>
      <c r="N4" s="29">
        <f t="shared" ref="N4:N13" si="13">M4</f>
        <v>0</v>
      </c>
      <c r="O4" s="22">
        <f t="shared" ref="O4:O36" si="14">(C4/50)*100</f>
        <v>0</v>
      </c>
      <c r="P4" s="22">
        <f t="shared" ref="P4:P36" si="15">(D4/30)*100</f>
        <v>0</v>
      </c>
      <c r="Q4" s="22">
        <f t="shared" ref="Q4:Q36" si="16">(E4/20)*100</f>
        <v>0</v>
      </c>
      <c r="R4" s="22">
        <f t="shared" si="1"/>
        <v>0</v>
      </c>
      <c r="S4" s="22">
        <f t="shared" si="2"/>
        <v>0</v>
      </c>
      <c r="T4" s="22">
        <f t="shared" si="3"/>
        <v>0</v>
      </c>
      <c r="U4" s="22">
        <f t="shared" si="4"/>
        <v>0</v>
      </c>
      <c r="V4" s="22">
        <f t="shared" si="5"/>
        <v>0</v>
      </c>
      <c r="W4" s="30">
        <f t="shared" si="6"/>
        <v>0</v>
      </c>
      <c r="X4" s="30">
        <f t="shared" si="7"/>
        <v>0</v>
      </c>
      <c r="Y4" s="30">
        <f t="shared" si="8"/>
        <v>0</v>
      </c>
      <c r="Z4" s="31"/>
      <c r="AA4" s="31"/>
      <c r="AB4" s="31"/>
      <c r="AC4" s="17">
        <v>0.6</v>
      </c>
      <c r="AD4" s="17">
        <v>0.6</v>
      </c>
      <c r="AE4" s="17">
        <v>0.6</v>
      </c>
      <c r="AF4" s="17">
        <f t="shared" si="9"/>
        <v>0</v>
      </c>
      <c r="AG4" s="31"/>
      <c r="AH4" s="21"/>
    </row>
    <row r="5" s="5" customFormat="1" ht="15" spans="1:34">
      <c r="A5" s="24"/>
      <c r="B5" s="25"/>
      <c r="C5" s="26"/>
      <c r="D5" s="26"/>
      <c r="E5" s="26"/>
      <c r="F5" s="26"/>
      <c r="G5" s="26"/>
      <c r="H5" s="26"/>
      <c r="I5" s="27">
        <v>3</v>
      </c>
      <c r="J5" s="25"/>
      <c r="K5" s="28">
        <f t="shared" si="10"/>
        <v>0</v>
      </c>
      <c r="L5" s="29">
        <f t="shared" si="11"/>
        <v>0</v>
      </c>
      <c r="M5" s="29">
        <f t="shared" si="12"/>
        <v>0</v>
      </c>
      <c r="N5" s="29">
        <f t="shared" si="13"/>
        <v>0</v>
      </c>
      <c r="O5" s="22">
        <f t="shared" si="14"/>
        <v>0</v>
      </c>
      <c r="P5" s="22">
        <f t="shared" si="15"/>
        <v>0</v>
      </c>
      <c r="Q5" s="22">
        <f t="shared" si="16"/>
        <v>0</v>
      </c>
      <c r="R5" s="22">
        <f t="shared" si="1"/>
        <v>0</v>
      </c>
      <c r="S5" s="22">
        <f t="shared" si="2"/>
        <v>0</v>
      </c>
      <c r="T5" s="22">
        <f t="shared" si="3"/>
        <v>0</v>
      </c>
      <c r="U5" s="22">
        <f t="shared" si="4"/>
        <v>0</v>
      </c>
      <c r="V5" s="22">
        <f t="shared" si="5"/>
        <v>0</v>
      </c>
      <c r="W5" s="30">
        <f t="shared" si="6"/>
        <v>0</v>
      </c>
      <c r="X5" s="30">
        <f t="shared" si="7"/>
        <v>0</v>
      </c>
      <c r="Y5" s="30">
        <f t="shared" si="8"/>
        <v>0</v>
      </c>
      <c r="Z5" s="31"/>
      <c r="AA5" s="31"/>
      <c r="AB5" s="31"/>
      <c r="AC5" s="17">
        <v>0.6</v>
      </c>
      <c r="AD5" s="17">
        <v>0.6</v>
      </c>
      <c r="AE5" s="17">
        <v>0.6</v>
      </c>
      <c r="AF5" s="17">
        <f t="shared" si="9"/>
        <v>0</v>
      </c>
      <c r="AG5" s="31"/>
      <c r="AH5" s="21"/>
    </row>
    <row r="6" s="5" customFormat="1" ht="15" spans="1:34">
      <c r="A6" s="24"/>
      <c r="B6" s="25"/>
      <c r="C6" s="26"/>
      <c r="D6" s="26"/>
      <c r="E6" s="26"/>
      <c r="F6" s="26"/>
      <c r="G6" s="26"/>
      <c r="H6" s="26"/>
      <c r="I6" s="27">
        <v>4</v>
      </c>
      <c r="J6" s="25"/>
      <c r="K6" s="28">
        <f t="shared" si="10"/>
        <v>0</v>
      </c>
      <c r="L6" s="29">
        <f t="shared" si="11"/>
        <v>0</v>
      </c>
      <c r="M6" s="29">
        <f t="shared" si="12"/>
        <v>0</v>
      </c>
      <c r="N6" s="29">
        <f t="shared" si="13"/>
        <v>0</v>
      </c>
      <c r="O6" s="22">
        <f t="shared" si="14"/>
        <v>0</v>
      </c>
      <c r="P6" s="22">
        <f t="shared" si="15"/>
        <v>0</v>
      </c>
      <c r="Q6" s="22">
        <f t="shared" si="16"/>
        <v>0</v>
      </c>
      <c r="R6" s="22">
        <f t="shared" si="1"/>
        <v>0</v>
      </c>
      <c r="S6" s="22">
        <f t="shared" si="2"/>
        <v>0</v>
      </c>
      <c r="T6" s="22">
        <f t="shared" si="3"/>
        <v>0</v>
      </c>
      <c r="U6" s="22">
        <f t="shared" si="4"/>
        <v>0</v>
      </c>
      <c r="V6" s="22">
        <f t="shared" si="5"/>
        <v>0</v>
      </c>
      <c r="W6" s="30">
        <f t="shared" si="6"/>
        <v>0</v>
      </c>
      <c r="X6" s="30">
        <f t="shared" si="7"/>
        <v>0</v>
      </c>
      <c r="Y6" s="30">
        <f t="shared" si="8"/>
        <v>0</v>
      </c>
      <c r="Z6" s="31"/>
      <c r="AA6" s="31"/>
      <c r="AB6" s="31"/>
      <c r="AC6" s="17">
        <v>0.6</v>
      </c>
      <c r="AD6" s="17">
        <v>0.6</v>
      </c>
      <c r="AE6" s="17">
        <v>0.6</v>
      </c>
      <c r="AF6" s="17">
        <f t="shared" si="9"/>
        <v>0</v>
      </c>
      <c r="AG6" s="31"/>
      <c r="AH6" s="21"/>
    </row>
    <row r="7" s="5" customFormat="1" ht="15" spans="1:34">
      <c r="A7" s="24"/>
      <c r="B7" s="25"/>
      <c r="C7" s="26"/>
      <c r="D7" s="26"/>
      <c r="E7" s="26"/>
      <c r="F7" s="26"/>
      <c r="G7" s="26"/>
      <c r="H7" s="26"/>
      <c r="I7" s="27">
        <v>5</v>
      </c>
      <c r="J7" s="25"/>
      <c r="K7" s="28">
        <f t="shared" si="10"/>
        <v>0</v>
      </c>
      <c r="L7" s="29">
        <f t="shared" si="11"/>
        <v>0</v>
      </c>
      <c r="M7" s="29">
        <f t="shared" si="12"/>
        <v>0</v>
      </c>
      <c r="N7" s="29">
        <f t="shared" si="13"/>
        <v>0</v>
      </c>
      <c r="O7" s="22">
        <f t="shared" si="14"/>
        <v>0</v>
      </c>
      <c r="P7" s="22">
        <f t="shared" si="15"/>
        <v>0</v>
      </c>
      <c r="Q7" s="22">
        <f t="shared" si="16"/>
        <v>0</v>
      </c>
      <c r="R7" s="22">
        <f t="shared" si="1"/>
        <v>0</v>
      </c>
      <c r="S7" s="22">
        <f t="shared" si="2"/>
        <v>0</v>
      </c>
      <c r="T7" s="22">
        <f t="shared" si="3"/>
        <v>0</v>
      </c>
      <c r="U7" s="22">
        <f t="shared" si="4"/>
        <v>0</v>
      </c>
      <c r="V7" s="22">
        <f t="shared" si="5"/>
        <v>0</v>
      </c>
      <c r="W7" s="30">
        <f t="shared" si="6"/>
        <v>0</v>
      </c>
      <c r="X7" s="30">
        <f t="shared" si="7"/>
        <v>0</v>
      </c>
      <c r="Y7" s="30">
        <f t="shared" si="8"/>
        <v>0</v>
      </c>
      <c r="Z7" s="31"/>
      <c r="AA7" s="31"/>
      <c r="AB7" s="31"/>
      <c r="AC7" s="17">
        <v>0.6</v>
      </c>
      <c r="AD7" s="17">
        <v>0.6</v>
      </c>
      <c r="AE7" s="17">
        <v>0.6</v>
      </c>
      <c r="AF7" s="17">
        <f t="shared" si="9"/>
        <v>0</v>
      </c>
      <c r="AG7" s="31"/>
      <c r="AH7" s="21"/>
    </row>
    <row r="8" s="5" customFormat="1" ht="15" spans="1:34">
      <c r="A8" s="24"/>
      <c r="B8" s="25"/>
      <c r="C8" s="26"/>
      <c r="D8" s="26"/>
      <c r="E8" s="26"/>
      <c r="F8" s="26"/>
      <c r="G8" s="26"/>
      <c r="H8" s="26"/>
      <c r="I8" s="27">
        <v>6</v>
      </c>
      <c r="J8" s="25"/>
      <c r="K8" s="28">
        <f t="shared" si="10"/>
        <v>0</v>
      </c>
      <c r="L8" s="29">
        <f t="shared" si="11"/>
        <v>0</v>
      </c>
      <c r="M8" s="29">
        <f t="shared" si="12"/>
        <v>0</v>
      </c>
      <c r="N8" s="29">
        <f t="shared" si="13"/>
        <v>0</v>
      </c>
      <c r="O8" s="22">
        <f t="shared" si="14"/>
        <v>0</v>
      </c>
      <c r="P8" s="22">
        <f t="shared" si="15"/>
        <v>0</v>
      </c>
      <c r="Q8" s="22">
        <f t="shared" si="16"/>
        <v>0</v>
      </c>
      <c r="R8" s="22">
        <f t="shared" si="1"/>
        <v>0</v>
      </c>
      <c r="S8" s="22">
        <f t="shared" si="2"/>
        <v>0</v>
      </c>
      <c r="T8" s="22">
        <f t="shared" si="3"/>
        <v>0</v>
      </c>
      <c r="U8" s="22">
        <f t="shared" si="4"/>
        <v>0</v>
      </c>
      <c r="V8" s="22">
        <f t="shared" si="5"/>
        <v>0</v>
      </c>
      <c r="W8" s="30">
        <f t="shared" si="6"/>
        <v>0</v>
      </c>
      <c r="X8" s="30">
        <f t="shared" si="7"/>
        <v>0</v>
      </c>
      <c r="Y8" s="30">
        <f t="shared" si="8"/>
        <v>0</v>
      </c>
      <c r="Z8" s="31"/>
      <c r="AA8" s="31"/>
      <c r="AB8" s="31"/>
      <c r="AC8" s="17">
        <v>0.6</v>
      </c>
      <c r="AD8" s="17">
        <v>0.6</v>
      </c>
      <c r="AE8" s="17">
        <v>0.6</v>
      </c>
      <c r="AF8" s="17">
        <f t="shared" si="9"/>
        <v>0</v>
      </c>
      <c r="AG8" s="31"/>
      <c r="AH8" s="21"/>
    </row>
    <row r="9" s="5" customFormat="1" ht="15" spans="1:34">
      <c r="A9" s="24"/>
      <c r="B9" s="25"/>
      <c r="C9" s="26"/>
      <c r="D9" s="26"/>
      <c r="E9" s="26"/>
      <c r="F9" s="26"/>
      <c r="G9" s="26"/>
      <c r="H9" s="26"/>
      <c r="I9" s="27">
        <v>7</v>
      </c>
      <c r="J9" s="25"/>
      <c r="K9" s="28">
        <f t="shared" si="10"/>
        <v>0</v>
      </c>
      <c r="L9" s="29">
        <f t="shared" si="11"/>
        <v>0</v>
      </c>
      <c r="M9" s="29">
        <f t="shared" si="12"/>
        <v>0</v>
      </c>
      <c r="N9" s="29">
        <f t="shared" si="13"/>
        <v>0</v>
      </c>
      <c r="O9" s="22">
        <f t="shared" si="14"/>
        <v>0</v>
      </c>
      <c r="P9" s="22">
        <f t="shared" si="15"/>
        <v>0</v>
      </c>
      <c r="Q9" s="22">
        <f t="shared" si="16"/>
        <v>0</v>
      </c>
      <c r="R9" s="22">
        <f t="shared" si="1"/>
        <v>0</v>
      </c>
      <c r="S9" s="22">
        <f t="shared" si="2"/>
        <v>0</v>
      </c>
      <c r="T9" s="22">
        <f t="shared" si="3"/>
        <v>0</v>
      </c>
      <c r="U9" s="22">
        <f t="shared" si="4"/>
        <v>0</v>
      </c>
      <c r="V9" s="22">
        <f t="shared" si="5"/>
        <v>0</v>
      </c>
      <c r="W9" s="30">
        <f t="shared" si="6"/>
        <v>0</v>
      </c>
      <c r="X9" s="30">
        <f t="shared" si="7"/>
        <v>0</v>
      </c>
      <c r="Y9" s="30">
        <f t="shared" si="8"/>
        <v>0</v>
      </c>
      <c r="Z9" s="31"/>
      <c r="AA9" s="31"/>
      <c r="AB9" s="31"/>
      <c r="AC9" s="17">
        <v>0.6</v>
      </c>
      <c r="AD9" s="17">
        <v>0.6</v>
      </c>
      <c r="AE9" s="17">
        <v>0.6</v>
      </c>
      <c r="AF9" s="17">
        <f t="shared" si="9"/>
        <v>0</v>
      </c>
      <c r="AG9" s="31"/>
      <c r="AH9" s="21"/>
    </row>
    <row r="10" s="5" customFormat="1" ht="15" spans="1:34">
      <c r="A10" s="24"/>
      <c r="B10" s="25"/>
      <c r="C10" s="26"/>
      <c r="D10" s="26"/>
      <c r="E10" s="26"/>
      <c r="F10" s="26"/>
      <c r="G10" s="26"/>
      <c r="H10" s="26"/>
      <c r="I10" s="27">
        <v>8</v>
      </c>
      <c r="J10" s="25"/>
      <c r="K10" s="28">
        <f t="shared" si="10"/>
        <v>0</v>
      </c>
      <c r="L10" s="29">
        <f t="shared" si="11"/>
        <v>0</v>
      </c>
      <c r="M10" s="29">
        <f t="shared" si="12"/>
        <v>0</v>
      </c>
      <c r="N10" s="29">
        <f t="shared" si="13"/>
        <v>0</v>
      </c>
      <c r="O10" s="22">
        <f t="shared" si="14"/>
        <v>0</v>
      </c>
      <c r="P10" s="22">
        <f t="shared" si="15"/>
        <v>0</v>
      </c>
      <c r="Q10" s="22">
        <f t="shared" si="16"/>
        <v>0</v>
      </c>
      <c r="R10" s="22">
        <f t="shared" si="1"/>
        <v>0</v>
      </c>
      <c r="S10" s="22">
        <f t="shared" si="2"/>
        <v>0</v>
      </c>
      <c r="T10" s="22">
        <f t="shared" si="3"/>
        <v>0</v>
      </c>
      <c r="U10" s="22">
        <f t="shared" si="4"/>
        <v>0</v>
      </c>
      <c r="V10" s="22">
        <f t="shared" si="5"/>
        <v>0</v>
      </c>
      <c r="W10" s="30">
        <f t="shared" si="6"/>
        <v>0</v>
      </c>
      <c r="X10" s="30">
        <f t="shared" si="7"/>
        <v>0</v>
      </c>
      <c r="Y10" s="30">
        <f t="shared" si="8"/>
        <v>0</v>
      </c>
      <c r="Z10" s="31"/>
      <c r="AA10" s="31"/>
      <c r="AB10" s="31"/>
      <c r="AC10" s="17">
        <v>0.6</v>
      </c>
      <c r="AD10" s="17">
        <v>0.6</v>
      </c>
      <c r="AE10" s="17">
        <v>0.6</v>
      </c>
      <c r="AF10" s="17">
        <f t="shared" si="9"/>
        <v>0</v>
      </c>
      <c r="AG10" s="31"/>
      <c r="AH10" s="21"/>
    </row>
    <row r="11" s="5" customFormat="1" ht="15" spans="1:34">
      <c r="A11" s="24"/>
      <c r="B11" s="25"/>
      <c r="C11" s="26"/>
      <c r="D11" s="26"/>
      <c r="E11" s="26"/>
      <c r="F11" s="26"/>
      <c r="G11" s="26"/>
      <c r="H11" s="26"/>
      <c r="I11" s="21">
        <v>9</v>
      </c>
      <c r="J11" s="25"/>
      <c r="K11" s="28">
        <f t="shared" si="10"/>
        <v>0</v>
      </c>
      <c r="L11" s="29">
        <f t="shared" si="11"/>
        <v>0</v>
      </c>
      <c r="M11" s="29">
        <f t="shared" si="12"/>
        <v>0</v>
      </c>
      <c r="N11" s="29">
        <f t="shared" si="13"/>
        <v>0</v>
      </c>
      <c r="O11" s="22">
        <f t="shared" si="14"/>
        <v>0</v>
      </c>
      <c r="P11" s="22">
        <f t="shared" si="15"/>
        <v>0</v>
      </c>
      <c r="Q11" s="22">
        <f t="shared" si="16"/>
        <v>0</v>
      </c>
      <c r="R11" s="22">
        <f t="shared" si="1"/>
        <v>0</v>
      </c>
      <c r="S11" s="22">
        <f t="shared" si="2"/>
        <v>0</v>
      </c>
      <c r="T11" s="22">
        <f t="shared" si="3"/>
        <v>0</v>
      </c>
      <c r="U11" s="22">
        <f t="shared" si="4"/>
        <v>0</v>
      </c>
      <c r="V11" s="22">
        <f t="shared" si="5"/>
        <v>0</v>
      </c>
      <c r="W11" s="30">
        <f t="shared" si="6"/>
        <v>0</v>
      </c>
      <c r="X11" s="30">
        <f t="shared" si="7"/>
        <v>0</v>
      </c>
      <c r="Y11" s="30">
        <f t="shared" si="8"/>
        <v>0</v>
      </c>
      <c r="Z11" s="31"/>
      <c r="AA11" s="31"/>
      <c r="AB11" s="31"/>
      <c r="AC11" s="17">
        <v>0.6</v>
      </c>
      <c r="AD11" s="17">
        <v>0.6</v>
      </c>
      <c r="AE11" s="17">
        <v>0.6</v>
      </c>
      <c r="AF11" s="17">
        <f t="shared" si="9"/>
        <v>0</v>
      </c>
      <c r="AG11" s="31"/>
      <c r="AH11" s="21"/>
    </row>
    <row r="12" s="5" customFormat="1" ht="15" spans="1:34">
      <c r="A12" s="24"/>
      <c r="B12" s="25"/>
      <c r="C12" s="26"/>
      <c r="D12" s="26"/>
      <c r="E12" s="26"/>
      <c r="F12" s="26"/>
      <c r="G12" s="26"/>
      <c r="H12" s="26"/>
      <c r="I12" s="21">
        <v>10</v>
      </c>
      <c r="J12" s="25"/>
      <c r="K12" s="28">
        <f t="shared" si="10"/>
        <v>0</v>
      </c>
      <c r="L12" s="29">
        <f t="shared" si="11"/>
        <v>0</v>
      </c>
      <c r="M12" s="29">
        <f t="shared" si="12"/>
        <v>0</v>
      </c>
      <c r="N12" s="29">
        <f t="shared" si="13"/>
        <v>0</v>
      </c>
      <c r="O12" s="22">
        <f t="shared" si="14"/>
        <v>0</v>
      </c>
      <c r="P12" s="22">
        <f t="shared" si="15"/>
        <v>0</v>
      </c>
      <c r="Q12" s="22">
        <f t="shared" si="16"/>
        <v>0</v>
      </c>
      <c r="R12" s="22">
        <f t="shared" si="1"/>
        <v>0</v>
      </c>
      <c r="S12" s="22">
        <f t="shared" si="2"/>
        <v>0</v>
      </c>
      <c r="T12" s="22">
        <f t="shared" si="3"/>
        <v>0</v>
      </c>
      <c r="U12" s="22">
        <f t="shared" si="4"/>
        <v>0</v>
      </c>
      <c r="V12" s="22">
        <f t="shared" si="5"/>
        <v>0</v>
      </c>
      <c r="W12" s="30">
        <f t="shared" si="6"/>
        <v>0</v>
      </c>
      <c r="X12" s="30">
        <f t="shared" si="7"/>
        <v>0</v>
      </c>
      <c r="Y12" s="30">
        <f t="shared" si="8"/>
        <v>0</v>
      </c>
      <c r="Z12" s="31"/>
      <c r="AA12" s="31"/>
      <c r="AB12" s="31"/>
      <c r="AC12" s="17">
        <v>0.6</v>
      </c>
      <c r="AD12" s="17">
        <v>0.6</v>
      </c>
      <c r="AE12" s="17">
        <v>0.6</v>
      </c>
      <c r="AF12" s="17">
        <f t="shared" si="9"/>
        <v>0</v>
      </c>
      <c r="AG12" s="31"/>
      <c r="AH12" s="21">
        <v>10</v>
      </c>
    </row>
    <row r="13" s="5" customFormat="1" ht="15" spans="1:34">
      <c r="A13" s="24"/>
      <c r="B13" s="25"/>
      <c r="C13" s="26"/>
      <c r="D13" s="26"/>
      <c r="E13" s="26"/>
      <c r="F13" s="26"/>
      <c r="G13" s="26"/>
      <c r="H13" s="26"/>
      <c r="I13" s="21">
        <v>11</v>
      </c>
      <c r="J13" s="25"/>
      <c r="K13" s="28">
        <f t="shared" si="10"/>
        <v>0</v>
      </c>
      <c r="L13" s="29">
        <f t="shared" si="11"/>
        <v>0</v>
      </c>
      <c r="M13" s="29">
        <f t="shared" si="12"/>
        <v>0</v>
      </c>
      <c r="N13" s="29">
        <f t="shared" si="13"/>
        <v>0</v>
      </c>
      <c r="O13" s="22">
        <f t="shared" si="14"/>
        <v>0</v>
      </c>
      <c r="P13" s="22">
        <f t="shared" si="15"/>
        <v>0</v>
      </c>
      <c r="Q13" s="22">
        <f t="shared" si="16"/>
        <v>0</v>
      </c>
      <c r="R13" s="22">
        <f t="shared" si="1"/>
        <v>0</v>
      </c>
      <c r="S13" s="22">
        <f t="shared" si="2"/>
        <v>0</v>
      </c>
      <c r="T13" s="22">
        <f t="shared" si="3"/>
        <v>0</v>
      </c>
      <c r="U13" s="22">
        <f t="shared" si="4"/>
        <v>0</v>
      </c>
      <c r="V13" s="22">
        <f t="shared" si="5"/>
        <v>0</v>
      </c>
      <c r="W13" s="30">
        <f t="shared" si="6"/>
        <v>0</v>
      </c>
      <c r="X13" s="30">
        <f t="shared" si="7"/>
        <v>0</v>
      </c>
      <c r="Y13" s="30">
        <f t="shared" si="8"/>
        <v>0</v>
      </c>
      <c r="Z13" s="31"/>
      <c r="AA13" s="31"/>
      <c r="AB13" s="31"/>
      <c r="AC13" s="17">
        <v>0.6</v>
      </c>
      <c r="AD13" s="17">
        <v>0.6</v>
      </c>
      <c r="AE13" s="17">
        <v>0.6</v>
      </c>
      <c r="AF13" s="17">
        <f t="shared" si="9"/>
        <v>0</v>
      </c>
      <c r="AG13" s="31"/>
      <c r="AH13" s="21"/>
    </row>
    <row r="14" s="5" customFormat="1" ht="15" spans="1:34">
      <c r="A14" s="24"/>
      <c r="B14" s="25"/>
      <c r="C14" s="26"/>
      <c r="D14" s="26"/>
      <c r="E14" s="26"/>
      <c r="F14" s="26"/>
      <c r="G14" s="26"/>
      <c r="H14" s="26"/>
      <c r="I14" s="21">
        <v>12</v>
      </c>
      <c r="J14" s="25"/>
      <c r="K14" s="28">
        <f t="shared" ref="K14:K38" si="17">F14</f>
        <v>0</v>
      </c>
      <c r="L14" s="29">
        <f t="shared" ref="L14:L38" si="18">K14</f>
        <v>0</v>
      </c>
      <c r="M14" s="29">
        <f t="shared" ref="M14:M38" si="19">L14</f>
        <v>0</v>
      </c>
      <c r="N14" s="29">
        <f t="shared" ref="N14:N38" si="20">M14</f>
        <v>0</v>
      </c>
      <c r="O14" s="22">
        <f t="shared" si="14"/>
        <v>0</v>
      </c>
      <c r="P14" s="22">
        <f t="shared" si="15"/>
        <v>0</v>
      </c>
      <c r="Q14" s="22">
        <f t="shared" si="16"/>
        <v>0</v>
      </c>
      <c r="R14" s="22">
        <f t="shared" ref="R14:R38" si="21">SUM(C14:E14)</f>
        <v>0</v>
      </c>
      <c r="S14" s="22">
        <f t="shared" ref="S14:S38" si="22">K14*0.3+O14*0.7</f>
        <v>0</v>
      </c>
      <c r="T14" s="22">
        <f t="shared" ref="T14:T38" si="23">L14*0.3+P14*0.7</f>
        <v>0</v>
      </c>
      <c r="U14" s="22">
        <f t="shared" ref="U14:U38" si="24">M14*0.3+Q14*0.7</f>
        <v>0</v>
      </c>
      <c r="V14" s="22">
        <f t="shared" ref="V14:V38" si="25">H14</f>
        <v>0</v>
      </c>
      <c r="W14" s="30">
        <f t="shared" ref="W14:W38" si="26">S14/100</f>
        <v>0</v>
      </c>
      <c r="X14" s="30">
        <f t="shared" ref="X14:X38" si="27">T14/100</f>
        <v>0</v>
      </c>
      <c r="Y14" s="30">
        <f t="shared" ref="Y14:Y38" si="28">U14/100</f>
        <v>0</v>
      </c>
      <c r="Z14" s="31"/>
      <c r="AA14" s="31"/>
      <c r="AB14" s="31"/>
      <c r="AC14" s="17">
        <v>0.6</v>
      </c>
      <c r="AD14" s="17">
        <v>0.6</v>
      </c>
      <c r="AE14" s="17">
        <v>0.6</v>
      </c>
      <c r="AF14" s="17">
        <f t="shared" ref="AF14:AF38" si="29">V14/100</f>
        <v>0</v>
      </c>
      <c r="AG14" s="31"/>
      <c r="AH14" s="21"/>
    </row>
    <row r="15" s="5" customFormat="1" ht="15" spans="1:34">
      <c r="A15" s="24"/>
      <c r="B15" s="25"/>
      <c r="C15" s="26"/>
      <c r="D15" s="26"/>
      <c r="E15" s="26"/>
      <c r="F15" s="26"/>
      <c r="G15" s="26"/>
      <c r="H15" s="26"/>
      <c r="I15" s="21">
        <v>13</v>
      </c>
      <c r="J15" s="25"/>
      <c r="K15" s="28">
        <f t="shared" si="17"/>
        <v>0</v>
      </c>
      <c r="L15" s="29">
        <f t="shared" si="18"/>
        <v>0</v>
      </c>
      <c r="M15" s="29">
        <f t="shared" si="19"/>
        <v>0</v>
      </c>
      <c r="N15" s="29">
        <f t="shared" si="20"/>
        <v>0</v>
      </c>
      <c r="O15" s="22">
        <f t="shared" si="14"/>
        <v>0</v>
      </c>
      <c r="P15" s="22">
        <f t="shared" si="15"/>
        <v>0</v>
      </c>
      <c r="Q15" s="22">
        <f t="shared" si="16"/>
        <v>0</v>
      </c>
      <c r="R15" s="22">
        <f t="shared" si="21"/>
        <v>0</v>
      </c>
      <c r="S15" s="22">
        <f t="shared" si="22"/>
        <v>0</v>
      </c>
      <c r="T15" s="22">
        <f t="shared" si="23"/>
        <v>0</v>
      </c>
      <c r="U15" s="22">
        <f t="shared" si="24"/>
        <v>0</v>
      </c>
      <c r="V15" s="22">
        <f t="shared" si="25"/>
        <v>0</v>
      </c>
      <c r="W15" s="30">
        <f t="shared" si="26"/>
        <v>0</v>
      </c>
      <c r="X15" s="30">
        <f t="shared" si="27"/>
        <v>0</v>
      </c>
      <c r="Y15" s="30">
        <f t="shared" si="28"/>
        <v>0</v>
      </c>
      <c r="Z15" s="31"/>
      <c r="AA15" s="31"/>
      <c r="AB15" s="31"/>
      <c r="AC15" s="17">
        <v>0.6</v>
      </c>
      <c r="AD15" s="17">
        <v>0.6</v>
      </c>
      <c r="AE15" s="17">
        <v>0.6</v>
      </c>
      <c r="AF15" s="17">
        <f t="shared" si="29"/>
        <v>0</v>
      </c>
      <c r="AG15" s="31"/>
      <c r="AH15" s="21"/>
    </row>
    <row r="16" s="5" customFormat="1" ht="15" spans="1:34">
      <c r="A16" s="24"/>
      <c r="B16" s="25"/>
      <c r="C16" s="26"/>
      <c r="D16" s="26"/>
      <c r="E16" s="26"/>
      <c r="F16" s="26"/>
      <c r="G16" s="26"/>
      <c r="H16" s="26"/>
      <c r="I16" s="21">
        <v>14</v>
      </c>
      <c r="J16" s="25"/>
      <c r="K16" s="28">
        <f t="shared" si="17"/>
        <v>0</v>
      </c>
      <c r="L16" s="29">
        <f t="shared" si="18"/>
        <v>0</v>
      </c>
      <c r="M16" s="29">
        <f t="shared" si="19"/>
        <v>0</v>
      </c>
      <c r="N16" s="29">
        <f t="shared" si="20"/>
        <v>0</v>
      </c>
      <c r="O16" s="22">
        <f t="shared" si="14"/>
        <v>0</v>
      </c>
      <c r="P16" s="22">
        <f t="shared" si="15"/>
        <v>0</v>
      </c>
      <c r="Q16" s="22">
        <f t="shared" si="16"/>
        <v>0</v>
      </c>
      <c r="R16" s="22">
        <f t="shared" si="21"/>
        <v>0</v>
      </c>
      <c r="S16" s="22">
        <f t="shared" si="22"/>
        <v>0</v>
      </c>
      <c r="T16" s="22">
        <f t="shared" si="23"/>
        <v>0</v>
      </c>
      <c r="U16" s="22">
        <f t="shared" si="24"/>
        <v>0</v>
      </c>
      <c r="V16" s="22">
        <f t="shared" si="25"/>
        <v>0</v>
      </c>
      <c r="W16" s="30">
        <f t="shared" si="26"/>
        <v>0</v>
      </c>
      <c r="X16" s="30">
        <f t="shared" si="27"/>
        <v>0</v>
      </c>
      <c r="Y16" s="30">
        <f t="shared" si="28"/>
        <v>0</v>
      </c>
      <c r="Z16" s="31"/>
      <c r="AA16" s="31"/>
      <c r="AB16" s="31"/>
      <c r="AC16" s="17">
        <v>0.6</v>
      </c>
      <c r="AD16" s="17">
        <v>0.6</v>
      </c>
      <c r="AE16" s="17">
        <v>0.6</v>
      </c>
      <c r="AF16" s="17">
        <f t="shared" si="29"/>
        <v>0</v>
      </c>
      <c r="AG16" s="31"/>
      <c r="AH16" s="21"/>
    </row>
    <row r="17" s="5" customFormat="1" ht="15" spans="1:34">
      <c r="A17" s="24"/>
      <c r="B17" s="25"/>
      <c r="C17" s="26"/>
      <c r="D17" s="26"/>
      <c r="E17" s="26"/>
      <c r="F17" s="26"/>
      <c r="G17" s="26"/>
      <c r="H17" s="26"/>
      <c r="I17" s="21">
        <v>15</v>
      </c>
      <c r="J17" s="25"/>
      <c r="K17" s="28">
        <f t="shared" si="17"/>
        <v>0</v>
      </c>
      <c r="L17" s="29">
        <f t="shared" si="18"/>
        <v>0</v>
      </c>
      <c r="M17" s="29">
        <f t="shared" si="19"/>
        <v>0</v>
      </c>
      <c r="N17" s="29">
        <f t="shared" si="20"/>
        <v>0</v>
      </c>
      <c r="O17" s="22">
        <f t="shared" si="14"/>
        <v>0</v>
      </c>
      <c r="P17" s="22">
        <f t="shared" si="15"/>
        <v>0</v>
      </c>
      <c r="Q17" s="22">
        <f t="shared" si="16"/>
        <v>0</v>
      </c>
      <c r="R17" s="22">
        <f t="shared" si="21"/>
        <v>0</v>
      </c>
      <c r="S17" s="22">
        <f t="shared" si="22"/>
        <v>0</v>
      </c>
      <c r="T17" s="22">
        <f t="shared" si="23"/>
        <v>0</v>
      </c>
      <c r="U17" s="22">
        <f t="shared" si="24"/>
        <v>0</v>
      </c>
      <c r="V17" s="22">
        <f t="shared" si="25"/>
        <v>0</v>
      </c>
      <c r="W17" s="30">
        <f t="shared" si="26"/>
        <v>0</v>
      </c>
      <c r="X17" s="30">
        <f t="shared" si="27"/>
        <v>0</v>
      </c>
      <c r="Y17" s="30">
        <f t="shared" si="28"/>
        <v>0</v>
      </c>
      <c r="Z17" s="31"/>
      <c r="AA17" s="31"/>
      <c r="AB17" s="31"/>
      <c r="AC17" s="17">
        <v>0.6</v>
      </c>
      <c r="AD17" s="17">
        <v>0.6</v>
      </c>
      <c r="AE17" s="17">
        <v>0.6</v>
      </c>
      <c r="AF17" s="17">
        <f t="shared" si="29"/>
        <v>0</v>
      </c>
      <c r="AG17" s="31"/>
      <c r="AH17" s="21"/>
    </row>
    <row r="18" s="5" customFormat="1" ht="15" spans="1:34">
      <c r="A18" s="24"/>
      <c r="B18" s="25"/>
      <c r="C18" s="26"/>
      <c r="D18" s="26"/>
      <c r="E18" s="26"/>
      <c r="F18" s="26"/>
      <c r="G18" s="26"/>
      <c r="H18" s="26"/>
      <c r="I18" s="21">
        <v>16</v>
      </c>
      <c r="J18" s="25"/>
      <c r="K18" s="28">
        <f t="shared" si="17"/>
        <v>0</v>
      </c>
      <c r="L18" s="29">
        <f t="shared" si="18"/>
        <v>0</v>
      </c>
      <c r="M18" s="29">
        <f t="shared" si="19"/>
        <v>0</v>
      </c>
      <c r="N18" s="29">
        <f t="shared" si="20"/>
        <v>0</v>
      </c>
      <c r="O18" s="22">
        <f t="shared" si="14"/>
        <v>0</v>
      </c>
      <c r="P18" s="22">
        <f t="shared" si="15"/>
        <v>0</v>
      </c>
      <c r="Q18" s="22">
        <f t="shared" si="16"/>
        <v>0</v>
      </c>
      <c r="R18" s="22">
        <f t="shared" si="21"/>
        <v>0</v>
      </c>
      <c r="S18" s="22">
        <f t="shared" si="22"/>
        <v>0</v>
      </c>
      <c r="T18" s="22">
        <f t="shared" si="23"/>
        <v>0</v>
      </c>
      <c r="U18" s="22">
        <f t="shared" si="24"/>
        <v>0</v>
      </c>
      <c r="V18" s="22">
        <f t="shared" si="25"/>
        <v>0</v>
      </c>
      <c r="W18" s="30">
        <f t="shared" si="26"/>
        <v>0</v>
      </c>
      <c r="X18" s="30">
        <f t="shared" si="27"/>
        <v>0</v>
      </c>
      <c r="Y18" s="30">
        <f t="shared" si="28"/>
        <v>0</v>
      </c>
      <c r="Z18" s="31"/>
      <c r="AA18" s="31"/>
      <c r="AB18" s="31"/>
      <c r="AC18" s="17">
        <v>0.6</v>
      </c>
      <c r="AD18" s="17">
        <v>0.6</v>
      </c>
      <c r="AE18" s="17">
        <v>0.6</v>
      </c>
      <c r="AF18" s="17">
        <f t="shared" si="29"/>
        <v>0</v>
      </c>
      <c r="AG18" s="31"/>
      <c r="AH18" s="21"/>
    </row>
    <row r="19" s="5" customFormat="1" ht="15" spans="1:34">
      <c r="A19" s="24"/>
      <c r="B19" s="25"/>
      <c r="C19" s="26"/>
      <c r="D19" s="26"/>
      <c r="E19" s="26"/>
      <c r="F19" s="26"/>
      <c r="G19" s="26"/>
      <c r="H19" s="26"/>
      <c r="I19" s="21">
        <v>17</v>
      </c>
      <c r="J19" s="25"/>
      <c r="K19" s="28">
        <f t="shared" si="17"/>
        <v>0</v>
      </c>
      <c r="L19" s="29">
        <f t="shared" si="18"/>
        <v>0</v>
      </c>
      <c r="M19" s="29">
        <f t="shared" si="19"/>
        <v>0</v>
      </c>
      <c r="N19" s="29">
        <f t="shared" si="20"/>
        <v>0</v>
      </c>
      <c r="O19" s="22">
        <f t="shared" si="14"/>
        <v>0</v>
      </c>
      <c r="P19" s="22">
        <f t="shared" si="15"/>
        <v>0</v>
      </c>
      <c r="Q19" s="22">
        <f t="shared" si="16"/>
        <v>0</v>
      </c>
      <c r="R19" s="22">
        <f t="shared" si="21"/>
        <v>0</v>
      </c>
      <c r="S19" s="22">
        <f t="shared" si="22"/>
        <v>0</v>
      </c>
      <c r="T19" s="22">
        <f t="shared" si="23"/>
        <v>0</v>
      </c>
      <c r="U19" s="22">
        <f t="shared" si="24"/>
        <v>0</v>
      </c>
      <c r="V19" s="22">
        <f t="shared" si="25"/>
        <v>0</v>
      </c>
      <c r="W19" s="30">
        <f t="shared" si="26"/>
        <v>0</v>
      </c>
      <c r="X19" s="30">
        <f t="shared" si="27"/>
        <v>0</v>
      </c>
      <c r="Y19" s="30">
        <f t="shared" si="28"/>
        <v>0</v>
      </c>
      <c r="Z19" s="31"/>
      <c r="AA19" s="31"/>
      <c r="AB19" s="31"/>
      <c r="AC19" s="17">
        <v>0.6</v>
      </c>
      <c r="AD19" s="17">
        <v>0.6</v>
      </c>
      <c r="AE19" s="17">
        <v>0.6</v>
      </c>
      <c r="AF19" s="17">
        <f t="shared" si="29"/>
        <v>0</v>
      </c>
      <c r="AG19" s="31"/>
      <c r="AH19" s="21"/>
    </row>
    <row r="20" s="5" customFormat="1" ht="15" spans="1:34">
      <c r="A20" s="24"/>
      <c r="B20" s="25"/>
      <c r="C20" s="26"/>
      <c r="D20" s="26"/>
      <c r="E20" s="26"/>
      <c r="F20" s="26"/>
      <c r="G20" s="26"/>
      <c r="H20" s="26"/>
      <c r="I20" s="21">
        <v>18</v>
      </c>
      <c r="J20" s="25"/>
      <c r="K20" s="28">
        <f t="shared" si="17"/>
        <v>0</v>
      </c>
      <c r="L20" s="29">
        <f t="shared" si="18"/>
        <v>0</v>
      </c>
      <c r="M20" s="29">
        <f t="shared" si="19"/>
        <v>0</v>
      </c>
      <c r="N20" s="29">
        <f t="shared" si="20"/>
        <v>0</v>
      </c>
      <c r="O20" s="22">
        <f t="shared" si="14"/>
        <v>0</v>
      </c>
      <c r="P20" s="22">
        <f t="shared" si="15"/>
        <v>0</v>
      </c>
      <c r="Q20" s="22">
        <f t="shared" si="16"/>
        <v>0</v>
      </c>
      <c r="R20" s="22">
        <f t="shared" si="21"/>
        <v>0</v>
      </c>
      <c r="S20" s="22">
        <f t="shared" si="22"/>
        <v>0</v>
      </c>
      <c r="T20" s="22">
        <f t="shared" si="23"/>
        <v>0</v>
      </c>
      <c r="U20" s="22">
        <f t="shared" si="24"/>
        <v>0</v>
      </c>
      <c r="V20" s="22">
        <f t="shared" si="25"/>
        <v>0</v>
      </c>
      <c r="W20" s="30">
        <f t="shared" si="26"/>
        <v>0</v>
      </c>
      <c r="X20" s="30">
        <f t="shared" si="27"/>
        <v>0</v>
      </c>
      <c r="Y20" s="30">
        <f t="shared" si="28"/>
        <v>0</v>
      </c>
      <c r="Z20" s="31"/>
      <c r="AA20" s="31"/>
      <c r="AB20" s="31"/>
      <c r="AC20" s="17">
        <v>0.6</v>
      </c>
      <c r="AD20" s="17">
        <v>0.6</v>
      </c>
      <c r="AE20" s="17">
        <v>0.6</v>
      </c>
      <c r="AF20" s="17">
        <f t="shared" si="29"/>
        <v>0</v>
      </c>
      <c r="AG20" s="31"/>
      <c r="AH20" s="21"/>
    </row>
    <row r="21" s="5" customFormat="1" ht="15" spans="1:34">
      <c r="A21" s="24"/>
      <c r="B21" s="25"/>
      <c r="C21" s="26"/>
      <c r="D21" s="26"/>
      <c r="E21" s="26"/>
      <c r="F21" s="26"/>
      <c r="G21" s="26"/>
      <c r="H21" s="26"/>
      <c r="I21" s="32">
        <v>19</v>
      </c>
      <c r="J21" s="25"/>
      <c r="K21" s="28">
        <f t="shared" si="17"/>
        <v>0</v>
      </c>
      <c r="L21" s="29">
        <f t="shared" si="18"/>
        <v>0</v>
      </c>
      <c r="M21" s="29">
        <f t="shared" si="19"/>
        <v>0</v>
      </c>
      <c r="N21" s="29">
        <f t="shared" si="20"/>
        <v>0</v>
      </c>
      <c r="O21" s="22">
        <f t="shared" si="14"/>
        <v>0</v>
      </c>
      <c r="P21" s="22">
        <f t="shared" si="15"/>
        <v>0</v>
      </c>
      <c r="Q21" s="22">
        <f t="shared" si="16"/>
        <v>0</v>
      </c>
      <c r="R21" s="22">
        <f t="shared" si="21"/>
        <v>0</v>
      </c>
      <c r="S21" s="22">
        <f t="shared" si="22"/>
        <v>0</v>
      </c>
      <c r="T21" s="22">
        <f t="shared" si="23"/>
        <v>0</v>
      </c>
      <c r="U21" s="22">
        <f t="shared" si="24"/>
        <v>0</v>
      </c>
      <c r="V21" s="22">
        <f t="shared" si="25"/>
        <v>0</v>
      </c>
      <c r="W21" s="30">
        <f t="shared" si="26"/>
        <v>0</v>
      </c>
      <c r="X21" s="30">
        <f t="shared" si="27"/>
        <v>0</v>
      </c>
      <c r="Y21" s="30">
        <f t="shared" si="28"/>
        <v>0</v>
      </c>
      <c r="Z21" s="31"/>
      <c r="AA21" s="31"/>
      <c r="AB21" s="31"/>
      <c r="AC21" s="17">
        <v>0.6</v>
      </c>
      <c r="AD21" s="17">
        <v>0.6</v>
      </c>
      <c r="AE21" s="17">
        <v>0.6</v>
      </c>
      <c r="AF21" s="17">
        <f t="shared" si="29"/>
        <v>0</v>
      </c>
      <c r="AG21" s="17"/>
      <c r="AH21" s="21"/>
    </row>
    <row r="22" s="5" customFormat="1" ht="15" spans="1:34">
      <c r="A22" s="24"/>
      <c r="B22" s="25"/>
      <c r="C22" s="26"/>
      <c r="D22" s="26"/>
      <c r="E22" s="26"/>
      <c r="F22" s="26"/>
      <c r="G22" s="26"/>
      <c r="H22" s="26"/>
      <c r="I22" s="21">
        <v>20</v>
      </c>
      <c r="J22" s="25"/>
      <c r="K22" s="28">
        <f t="shared" si="17"/>
        <v>0</v>
      </c>
      <c r="L22" s="29">
        <f t="shared" si="18"/>
        <v>0</v>
      </c>
      <c r="M22" s="29">
        <f t="shared" si="19"/>
        <v>0</v>
      </c>
      <c r="N22" s="29">
        <f t="shared" si="20"/>
        <v>0</v>
      </c>
      <c r="O22" s="22">
        <f t="shared" si="14"/>
        <v>0</v>
      </c>
      <c r="P22" s="22">
        <f t="shared" si="15"/>
        <v>0</v>
      </c>
      <c r="Q22" s="22">
        <f t="shared" si="16"/>
        <v>0</v>
      </c>
      <c r="R22" s="22">
        <f t="shared" si="21"/>
        <v>0</v>
      </c>
      <c r="S22" s="22">
        <f t="shared" si="22"/>
        <v>0</v>
      </c>
      <c r="T22" s="22">
        <f t="shared" si="23"/>
        <v>0</v>
      </c>
      <c r="U22" s="22">
        <f t="shared" si="24"/>
        <v>0</v>
      </c>
      <c r="V22" s="22">
        <f t="shared" si="25"/>
        <v>0</v>
      </c>
      <c r="W22" s="30">
        <f t="shared" si="26"/>
        <v>0</v>
      </c>
      <c r="X22" s="30">
        <f t="shared" si="27"/>
        <v>0</v>
      </c>
      <c r="Y22" s="30">
        <f t="shared" si="28"/>
        <v>0</v>
      </c>
      <c r="Z22" s="31"/>
      <c r="AA22" s="31"/>
      <c r="AB22" s="31"/>
      <c r="AC22" s="17">
        <v>0.6</v>
      </c>
      <c r="AD22" s="17">
        <v>0.6</v>
      </c>
      <c r="AE22" s="17">
        <v>0.6</v>
      </c>
      <c r="AF22" s="17">
        <f t="shared" si="29"/>
        <v>0</v>
      </c>
      <c r="AG22" s="17"/>
      <c r="AH22" s="21">
        <v>20</v>
      </c>
    </row>
    <row r="23" s="5" customFormat="1" ht="15" spans="1:34">
      <c r="A23" s="24"/>
      <c r="B23" s="25"/>
      <c r="C23" s="26"/>
      <c r="D23" s="26"/>
      <c r="E23" s="26"/>
      <c r="F23" s="26"/>
      <c r="G23" s="26"/>
      <c r="H23" s="26"/>
      <c r="I23" s="21">
        <v>21</v>
      </c>
      <c r="J23" s="25"/>
      <c r="K23" s="28">
        <f t="shared" si="17"/>
        <v>0</v>
      </c>
      <c r="L23" s="29">
        <f t="shared" si="18"/>
        <v>0</v>
      </c>
      <c r="M23" s="29">
        <f t="shared" si="19"/>
        <v>0</v>
      </c>
      <c r="N23" s="29">
        <f t="shared" si="20"/>
        <v>0</v>
      </c>
      <c r="O23" s="22">
        <f t="shared" si="14"/>
        <v>0</v>
      </c>
      <c r="P23" s="22">
        <f t="shared" si="15"/>
        <v>0</v>
      </c>
      <c r="Q23" s="22">
        <f t="shared" si="16"/>
        <v>0</v>
      </c>
      <c r="R23" s="22">
        <f t="shared" si="21"/>
        <v>0</v>
      </c>
      <c r="S23" s="22">
        <f t="shared" si="22"/>
        <v>0</v>
      </c>
      <c r="T23" s="22">
        <f t="shared" si="23"/>
        <v>0</v>
      </c>
      <c r="U23" s="22">
        <f t="shared" si="24"/>
        <v>0</v>
      </c>
      <c r="V23" s="22">
        <f t="shared" si="25"/>
        <v>0</v>
      </c>
      <c r="W23" s="30">
        <f t="shared" si="26"/>
        <v>0</v>
      </c>
      <c r="X23" s="30">
        <f t="shared" si="27"/>
        <v>0</v>
      </c>
      <c r="Y23" s="30">
        <f t="shared" si="28"/>
        <v>0</v>
      </c>
      <c r="Z23" s="31"/>
      <c r="AA23" s="31"/>
      <c r="AB23" s="31"/>
      <c r="AC23" s="17">
        <v>0.6</v>
      </c>
      <c r="AD23" s="17">
        <v>0.6</v>
      </c>
      <c r="AE23" s="17">
        <v>0.6</v>
      </c>
      <c r="AF23" s="17">
        <f t="shared" si="29"/>
        <v>0</v>
      </c>
      <c r="AG23" s="17"/>
      <c r="AH23" s="21"/>
    </row>
    <row r="24" s="5" customFormat="1" ht="15" spans="1:34">
      <c r="A24" s="24"/>
      <c r="B24" s="25"/>
      <c r="C24" s="26"/>
      <c r="D24" s="26"/>
      <c r="E24" s="26"/>
      <c r="F24" s="26"/>
      <c r="G24" s="26"/>
      <c r="H24" s="26"/>
      <c r="I24" s="21">
        <v>22</v>
      </c>
      <c r="J24" s="25"/>
      <c r="K24" s="28">
        <f t="shared" si="17"/>
        <v>0</v>
      </c>
      <c r="L24" s="29">
        <f t="shared" si="18"/>
        <v>0</v>
      </c>
      <c r="M24" s="29">
        <f t="shared" si="19"/>
        <v>0</v>
      </c>
      <c r="N24" s="29">
        <f t="shared" si="20"/>
        <v>0</v>
      </c>
      <c r="O24" s="22">
        <f t="shared" si="14"/>
        <v>0</v>
      </c>
      <c r="P24" s="22">
        <f t="shared" si="15"/>
        <v>0</v>
      </c>
      <c r="Q24" s="22">
        <f t="shared" si="16"/>
        <v>0</v>
      </c>
      <c r="R24" s="22">
        <f t="shared" si="21"/>
        <v>0</v>
      </c>
      <c r="S24" s="22">
        <f t="shared" si="22"/>
        <v>0</v>
      </c>
      <c r="T24" s="22">
        <f t="shared" si="23"/>
        <v>0</v>
      </c>
      <c r="U24" s="22">
        <f t="shared" si="24"/>
        <v>0</v>
      </c>
      <c r="V24" s="22">
        <f t="shared" si="25"/>
        <v>0</v>
      </c>
      <c r="W24" s="30">
        <f t="shared" si="26"/>
        <v>0</v>
      </c>
      <c r="X24" s="30">
        <f t="shared" si="27"/>
        <v>0</v>
      </c>
      <c r="Y24" s="30">
        <f t="shared" si="28"/>
        <v>0</v>
      </c>
      <c r="Z24" s="31"/>
      <c r="AA24" s="31"/>
      <c r="AB24" s="31"/>
      <c r="AC24" s="17">
        <v>0.6</v>
      </c>
      <c r="AD24" s="17">
        <v>0.6</v>
      </c>
      <c r="AE24" s="17">
        <v>0.6</v>
      </c>
      <c r="AF24" s="17">
        <f t="shared" si="29"/>
        <v>0</v>
      </c>
      <c r="AG24" s="17"/>
      <c r="AH24" s="21"/>
    </row>
    <row r="25" s="5" customFormat="1" ht="15" spans="1:34">
      <c r="A25" s="24"/>
      <c r="B25" s="25"/>
      <c r="C25" s="26"/>
      <c r="D25" s="26"/>
      <c r="E25" s="26"/>
      <c r="F25" s="26"/>
      <c r="G25" s="26"/>
      <c r="H25" s="26"/>
      <c r="I25" s="21">
        <v>23</v>
      </c>
      <c r="J25" s="25"/>
      <c r="K25" s="28">
        <f t="shared" si="17"/>
        <v>0</v>
      </c>
      <c r="L25" s="29">
        <f t="shared" si="18"/>
        <v>0</v>
      </c>
      <c r="M25" s="29">
        <f t="shared" si="19"/>
        <v>0</v>
      </c>
      <c r="N25" s="29">
        <f t="shared" si="20"/>
        <v>0</v>
      </c>
      <c r="O25" s="22">
        <f t="shared" si="14"/>
        <v>0</v>
      </c>
      <c r="P25" s="22">
        <f t="shared" si="15"/>
        <v>0</v>
      </c>
      <c r="Q25" s="22">
        <f t="shared" si="16"/>
        <v>0</v>
      </c>
      <c r="R25" s="22">
        <f t="shared" si="21"/>
        <v>0</v>
      </c>
      <c r="S25" s="22">
        <f t="shared" si="22"/>
        <v>0</v>
      </c>
      <c r="T25" s="22">
        <f t="shared" si="23"/>
        <v>0</v>
      </c>
      <c r="U25" s="22">
        <f t="shared" si="24"/>
        <v>0</v>
      </c>
      <c r="V25" s="22">
        <f t="shared" si="25"/>
        <v>0</v>
      </c>
      <c r="W25" s="30">
        <f t="shared" si="26"/>
        <v>0</v>
      </c>
      <c r="X25" s="30">
        <f t="shared" si="27"/>
        <v>0</v>
      </c>
      <c r="Y25" s="30">
        <f t="shared" si="28"/>
        <v>0</v>
      </c>
      <c r="Z25" s="31"/>
      <c r="AA25" s="31"/>
      <c r="AB25" s="31"/>
      <c r="AC25" s="17">
        <v>0.6</v>
      </c>
      <c r="AD25" s="17">
        <v>0.6</v>
      </c>
      <c r="AE25" s="17">
        <v>0.6</v>
      </c>
      <c r="AF25" s="17">
        <f t="shared" si="29"/>
        <v>0</v>
      </c>
      <c r="AG25" s="17"/>
      <c r="AH25" s="21"/>
    </row>
    <row r="26" s="5" customFormat="1" ht="15" spans="1:34">
      <c r="A26" s="24"/>
      <c r="B26" s="25"/>
      <c r="C26" s="26"/>
      <c r="D26" s="26"/>
      <c r="E26" s="26"/>
      <c r="F26" s="26"/>
      <c r="G26" s="26"/>
      <c r="H26" s="26"/>
      <c r="I26" s="21">
        <v>24</v>
      </c>
      <c r="J26" s="25"/>
      <c r="K26" s="28">
        <f t="shared" si="17"/>
        <v>0</v>
      </c>
      <c r="L26" s="29">
        <f t="shared" si="18"/>
        <v>0</v>
      </c>
      <c r="M26" s="29">
        <f t="shared" si="19"/>
        <v>0</v>
      </c>
      <c r="N26" s="29">
        <f t="shared" si="20"/>
        <v>0</v>
      </c>
      <c r="O26" s="22">
        <f t="shared" si="14"/>
        <v>0</v>
      </c>
      <c r="P26" s="22">
        <f t="shared" si="15"/>
        <v>0</v>
      </c>
      <c r="Q26" s="22">
        <f t="shared" si="16"/>
        <v>0</v>
      </c>
      <c r="R26" s="22">
        <f t="shared" si="21"/>
        <v>0</v>
      </c>
      <c r="S26" s="22">
        <f t="shared" si="22"/>
        <v>0</v>
      </c>
      <c r="T26" s="22">
        <f t="shared" si="23"/>
        <v>0</v>
      </c>
      <c r="U26" s="22">
        <f t="shared" si="24"/>
        <v>0</v>
      </c>
      <c r="V26" s="22">
        <f t="shared" si="25"/>
        <v>0</v>
      </c>
      <c r="W26" s="30">
        <f t="shared" si="26"/>
        <v>0</v>
      </c>
      <c r="X26" s="30">
        <f t="shared" si="27"/>
        <v>0</v>
      </c>
      <c r="Y26" s="30">
        <f t="shared" si="28"/>
        <v>0</v>
      </c>
      <c r="Z26" s="31"/>
      <c r="AA26" s="31"/>
      <c r="AB26" s="31"/>
      <c r="AC26" s="17">
        <v>0.6</v>
      </c>
      <c r="AD26" s="17">
        <v>0.6</v>
      </c>
      <c r="AE26" s="17">
        <v>0.6</v>
      </c>
      <c r="AF26" s="17">
        <f t="shared" si="29"/>
        <v>0</v>
      </c>
      <c r="AG26" s="17"/>
      <c r="AH26" s="21"/>
    </row>
    <row r="27" s="5" customFormat="1" ht="15" spans="1:34">
      <c r="A27" s="24"/>
      <c r="B27" s="25"/>
      <c r="C27" s="26"/>
      <c r="D27" s="26"/>
      <c r="E27" s="26"/>
      <c r="F27" s="26"/>
      <c r="G27" s="26"/>
      <c r="H27" s="26"/>
      <c r="I27" s="21">
        <v>25</v>
      </c>
      <c r="J27" s="25"/>
      <c r="K27" s="28">
        <f t="shared" si="17"/>
        <v>0</v>
      </c>
      <c r="L27" s="29">
        <f t="shared" si="18"/>
        <v>0</v>
      </c>
      <c r="M27" s="29">
        <f t="shared" si="19"/>
        <v>0</v>
      </c>
      <c r="N27" s="29">
        <f t="shared" si="20"/>
        <v>0</v>
      </c>
      <c r="O27" s="22">
        <f t="shared" si="14"/>
        <v>0</v>
      </c>
      <c r="P27" s="22">
        <f t="shared" si="15"/>
        <v>0</v>
      </c>
      <c r="Q27" s="22">
        <f t="shared" si="16"/>
        <v>0</v>
      </c>
      <c r="R27" s="22">
        <f t="shared" si="21"/>
        <v>0</v>
      </c>
      <c r="S27" s="22">
        <f t="shared" si="22"/>
        <v>0</v>
      </c>
      <c r="T27" s="22">
        <f t="shared" si="23"/>
        <v>0</v>
      </c>
      <c r="U27" s="22">
        <f t="shared" si="24"/>
        <v>0</v>
      </c>
      <c r="V27" s="22">
        <f t="shared" si="25"/>
        <v>0</v>
      </c>
      <c r="W27" s="30">
        <f t="shared" si="26"/>
        <v>0</v>
      </c>
      <c r="X27" s="30">
        <f t="shared" si="27"/>
        <v>0</v>
      </c>
      <c r="Y27" s="30">
        <f t="shared" si="28"/>
        <v>0</v>
      </c>
      <c r="Z27" s="31"/>
      <c r="AA27" s="31"/>
      <c r="AB27" s="31"/>
      <c r="AC27" s="17">
        <v>0.6</v>
      </c>
      <c r="AD27" s="17">
        <v>0.6</v>
      </c>
      <c r="AE27" s="17">
        <v>0.6</v>
      </c>
      <c r="AF27" s="17">
        <f t="shared" si="29"/>
        <v>0</v>
      </c>
      <c r="AG27" s="17"/>
      <c r="AH27" s="21"/>
    </row>
    <row r="28" s="5" customFormat="1" ht="15" spans="1:34">
      <c r="A28" s="24"/>
      <c r="B28" s="25"/>
      <c r="C28" s="26"/>
      <c r="D28" s="26"/>
      <c r="E28" s="26"/>
      <c r="F28" s="26"/>
      <c r="G28" s="26"/>
      <c r="H28" s="26"/>
      <c r="I28" s="21">
        <v>26</v>
      </c>
      <c r="J28" s="25"/>
      <c r="K28" s="28">
        <f t="shared" si="17"/>
        <v>0</v>
      </c>
      <c r="L28" s="29">
        <f t="shared" si="18"/>
        <v>0</v>
      </c>
      <c r="M28" s="29">
        <f t="shared" si="19"/>
        <v>0</v>
      </c>
      <c r="N28" s="29">
        <f t="shared" si="20"/>
        <v>0</v>
      </c>
      <c r="O28" s="22">
        <f t="shared" si="14"/>
        <v>0</v>
      </c>
      <c r="P28" s="22">
        <f t="shared" si="15"/>
        <v>0</v>
      </c>
      <c r="Q28" s="22">
        <f t="shared" si="16"/>
        <v>0</v>
      </c>
      <c r="R28" s="22">
        <f t="shared" si="21"/>
        <v>0</v>
      </c>
      <c r="S28" s="22">
        <f t="shared" si="22"/>
        <v>0</v>
      </c>
      <c r="T28" s="22">
        <f t="shared" si="23"/>
        <v>0</v>
      </c>
      <c r="U28" s="22">
        <f t="shared" si="24"/>
        <v>0</v>
      </c>
      <c r="V28" s="22">
        <f t="shared" si="25"/>
        <v>0</v>
      </c>
      <c r="W28" s="30">
        <f t="shared" si="26"/>
        <v>0</v>
      </c>
      <c r="X28" s="30">
        <f t="shared" si="27"/>
        <v>0</v>
      </c>
      <c r="Y28" s="30">
        <f t="shared" si="28"/>
        <v>0</v>
      </c>
      <c r="Z28" s="31"/>
      <c r="AA28" s="31"/>
      <c r="AB28" s="31"/>
      <c r="AC28" s="17">
        <v>0.6</v>
      </c>
      <c r="AD28" s="17">
        <v>0.6</v>
      </c>
      <c r="AE28" s="17">
        <v>0.6</v>
      </c>
      <c r="AF28" s="17">
        <f t="shared" si="29"/>
        <v>0</v>
      </c>
      <c r="AG28" s="17"/>
      <c r="AH28" s="21"/>
    </row>
    <row r="29" s="5" customFormat="1" ht="15" spans="1:34">
      <c r="A29" s="24"/>
      <c r="B29" s="25"/>
      <c r="C29" s="26"/>
      <c r="D29" s="26"/>
      <c r="E29" s="26"/>
      <c r="F29" s="26"/>
      <c r="G29" s="26"/>
      <c r="H29" s="26"/>
      <c r="I29" s="21">
        <v>27</v>
      </c>
      <c r="J29" s="25"/>
      <c r="K29" s="28">
        <f t="shared" si="17"/>
        <v>0</v>
      </c>
      <c r="L29" s="29">
        <f t="shared" si="18"/>
        <v>0</v>
      </c>
      <c r="M29" s="29">
        <f t="shared" si="19"/>
        <v>0</v>
      </c>
      <c r="N29" s="29">
        <f t="shared" si="20"/>
        <v>0</v>
      </c>
      <c r="O29" s="22">
        <f t="shared" si="14"/>
        <v>0</v>
      </c>
      <c r="P29" s="22">
        <f t="shared" si="15"/>
        <v>0</v>
      </c>
      <c r="Q29" s="22">
        <f t="shared" si="16"/>
        <v>0</v>
      </c>
      <c r="R29" s="22">
        <f t="shared" si="21"/>
        <v>0</v>
      </c>
      <c r="S29" s="22">
        <f t="shared" si="22"/>
        <v>0</v>
      </c>
      <c r="T29" s="22">
        <f t="shared" si="23"/>
        <v>0</v>
      </c>
      <c r="U29" s="22">
        <f t="shared" si="24"/>
        <v>0</v>
      </c>
      <c r="V29" s="22">
        <f t="shared" si="25"/>
        <v>0</v>
      </c>
      <c r="W29" s="30">
        <f t="shared" si="26"/>
        <v>0</v>
      </c>
      <c r="X29" s="30">
        <f t="shared" si="27"/>
        <v>0</v>
      </c>
      <c r="Y29" s="30">
        <f t="shared" si="28"/>
        <v>0</v>
      </c>
      <c r="Z29" s="31"/>
      <c r="AA29" s="31"/>
      <c r="AB29" s="31"/>
      <c r="AC29" s="17">
        <v>0.6</v>
      </c>
      <c r="AD29" s="17">
        <v>0.6</v>
      </c>
      <c r="AE29" s="17">
        <v>0.6</v>
      </c>
      <c r="AF29" s="17">
        <f t="shared" si="29"/>
        <v>0</v>
      </c>
      <c r="AG29" s="17"/>
      <c r="AH29" s="21"/>
    </row>
    <row r="30" s="5" customFormat="1" ht="15" spans="1:34">
      <c r="A30" s="24"/>
      <c r="B30" s="25"/>
      <c r="C30" s="26"/>
      <c r="D30" s="26"/>
      <c r="E30" s="26"/>
      <c r="F30" s="26"/>
      <c r="G30" s="26"/>
      <c r="H30" s="26"/>
      <c r="I30" s="21">
        <v>28</v>
      </c>
      <c r="J30" s="25"/>
      <c r="K30" s="28">
        <f t="shared" si="17"/>
        <v>0</v>
      </c>
      <c r="L30" s="29">
        <f t="shared" si="18"/>
        <v>0</v>
      </c>
      <c r="M30" s="29">
        <f t="shared" si="19"/>
        <v>0</v>
      </c>
      <c r="N30" s="29">
        <f t="shared" si="20"/>
        <v>0</v>
      </c>
      <c r="O30" s="22">
        <f t="shared" si="14"/>
        <v>0</v>
      </c>
      <c r="P30" s="22">
        <f t="shared" si="15"/>
        <v>0</v>
      </c>
      <c r="Q30" s="22">
        <f t="shared" si="16"/>
        <v>0</v>
      </c>
      <c r="R30" s="22">
        <f t="shared" si="21"/>
        <v>0</v>
      </c>
      <c r="S30" s="22">
        <f t="shared" si="22"/>
        <v>0</v>
      </c>
      <c r="T30" s="22">
        <f t="shared" si="23"/>
        <v>0</v>
      </c>
      <c r="U30" s="22">
        <f t="shared" si="24"/>
        <v>0</v>
      </c>
      <c r="V30" s="22">
        <f t="shared" si="25"/>
        <v>0</v>
      </c>
      <c r="W30" s="30">
        <f t="shared" si="26"/>
        <v>0</v>
      </c>
      <c r="X30" s="30">
        <f t="shared" si="27"/>
        <v>0</v>
      </c>
      <c r="Y30" s="30">
        <f t="shared" si="28"/>
        <v>0</v>
      </c>
      <c r="Z30" s="31"/>
      <c r="AA30" s="31"/>
      <c r="AB30" s="31"/>
      <c r="AC30" s="17">
        <v>0.6</v>
      </c>
      <c r="AD30" s="17">
        <v>0.6</v>
      </c>
      <c r="AE30" s="17">
        <v>0.6</v>
      </c>
      <c r="AF30" s="17">
        <f t="shared" si="29"/>
        <v>0</v>
      </c>
      <c r="AG30" s="17"/>
      <c r="AH30" s="21"/>
    </row>
    <row r="31" s="5" customFormat="1" ht="15" spans="1:34">
      <c r="A31" s="24"/>
      <c r="B31" s="25"/>
      <c r="C31" s="26"/>
      <c r="D31" s="26"/>
      <c r="E31" s="26"/>
      <c r="F31" s="26"/>
      <c r="G31" s="26"/>
      <c r="H31" s="26"/>
      <c r="I31" s="21">
        <v>29</v>
      </c>
      <c r="J31" s="25"/>
      <c r="K31" s="28">
        <f t="shared" si="17"/>
        <v>0</v>
      </c>
      <c r="L31" s="29">
        <f t="shared" si="18"/>
        <v>0</v>
      </c>
      <c r="M31" s="29">
        <f t="shared" si="19"/>
        <v>0</v>
      </c>
      <c r="N31" s="29">
        <f t="shared" si="20"/>
        <v>0</v>
      </c>
      <c r="O31" s="22">
        <f t="shared" si="14"/>
        <v>0</v>
      </c>
      <c r="P31" s="22">
        <f t="shared" si="15"/>
        <v>0</v>
      </c>
      <c r="Q31" s="22">
        <f t="shared" si="16"/>
        <v>0</v>
      </c>
      <c r="R31" s="22">
        <f t="shared" si="21"/>
        <v>0</v>
      </c>
      <c r="S31" s="22">
        <f t="shared" si="22"/>
        <v>0</v>
      </c>
      <c r="T31" s="22">
        <f t="shared" si="23"/>
        <v>0</v>
      </c>
      <c r="U31" s="22">
        <f t="shared" si="24"/>
        <v>0</v>
      </c>
      <c r="V31" s="22">
        <f t="shared" si="25"/>
        <v>0</v>
      </c>
      <c r="W31" s="30">
        <f t="shared" si="26"/>
        <v>0</v>
      </c>
      <c r="X31" s="30">
        <f t="shared" si="27"/>
        <v>0</v>
      </c>
      <c r="Y31" s="30">
        <f t="shared" si="28"/>
        <v>0</v>
      </c>
      <c r="Z31" s="31"/>
      <c r="AA31" s="31"/>
      <c r="AB31" s="31"/>
      <c r="AC31" s="17">
        <v>0.6</v>
      </c>
      <c r="AD31" s="17">
        <v>0.6</v>
      </c>
      <c r="AE31" s="17">
        <v>0.6</v>
      </c>
      <c r="AF31" s="17">
        <f t="shared" si="29"/>
        <v>0</v>
      </c>
      <c r="AG31" s="17"/>
      <c r="AH31" s="21"/>
    </row>
    <row r="32" s="5" customFormat="1" ht="15" spans="1:34">
      <c r="A32" s="24"/>
      <c r="B32" s="25"/>
      <c r="C32" s="26"/>
      <c r="D32" s="26"/>
      <c r="E32" s="26"/>
      <c r="F32" s="26"/>
      <c r="G32" s="26"/>
      <c r="H32" s="26"/>
      <c r="I32" s="21">
        <v>30</v>
      </c>
      <c r="J32" s="25"/>
      <c r="K32" s="28">
        <f t="shared" si="17"/>
        <v>0</v>
      </c>
      <c r="L32" s="29">
        <f t="shared" si="18"/>
        <v>0</v>
      </c>
      <c r="M32" s="29">
        <f t="shared" si="19"/>
        <v>0</v>
      </c>
      <c r="N32" s="29">
        <f t="shared" si="20"/>
        <v>0</v>
      </c>
      <c r="O32" s="22">
        <f t="shared" si="14"/>
        <v>0</v>
      </c>
      <c r="P32" s="22">
        <f t="shared" si="15"/>
        <v>0</v>
      </c>
      <c r="Q32" s="22">
        <f t="shared" si="16"/>
        <v>0</v>
      </c>
      <c r="R32" s="22">
        <f t="shared" si="21"/>
        <v>0</v>
      </c>
      <c r="S32" s="22">
        <f t="shared" si="22"/>
        <v>0</v>
      </c>
      <c r="T32" s="22">
        <f t="shared" si="23"/>
        <v>0</v>
      </c>
      <c r="U32" s="22">
        <f t="shared" si="24"/>
        <v>0</v>
      </c>
      <c r="V32" s="22">
        <f t="shared" si="25"/>
        <v>0</v>
      </c>
      <c r="W32" s="30">
        <f t="shared" si="26"/>
        <v>0</v>
      </c>
      <c r="X32" s="30">
        <f t="shared" si="27"/>
        <v>0</v>
      </c>
      <c r="Y32" s="30">
        <f t="shared" si="28"/>
        <v>0</v>
      </c>
      <c r="Z32" s="31"/>
      <c r="AA32" s="31"/>
      <c r="AB32" s="31"/>
      <c r="AC32" s="17">
        <v>0.6</v>
      </c>
      <c r="AD32" s="17">
        <v>0.6</v>
      </c>
      <c r="AE32" s="17">
        <v>0.6</v>
      </c>
      <c r="AF32" s="17">
        <f t="shared" si="29"/>
        <v>0</v>
      </c>
      <c r="AG32" s="17"/>
      <c r="AH32" s="21">
        <v>30</v>
      </c>
    </row>
    <row r="33" s="5" customFormat="1" ht="15" spans="1:34">
      <c r="A33" s="24"/>
      <c r="B33" s="25"/>
      <c r="C33" s="26"/>
      <c r="D33" s="26"/>
      <c r="E33" s="26"/>
      <c r="F33" s="26"/>
      <c r="G33" s="26"/>
      <c r="H33" s="26"/>
      <c r="I33" s="21">
        <v>31</v>
      </c>
      <c r="J33" s="25"/>
      <c r="K33" s="28">
        <f t="shared" si="17"/>
        <v>0</v>
      </c>
      <c r="L33" s="29">
        <f t="shared" si="18"/>
        <v>0</v>
      </c>
      <c r="M33" s="29">
        <f t="shared" si="19"/>
        <v>0</v>
      </c>
      <c r="N33" s="29">
        <f t="shared" si="20"/>
        <v>0</v>
      </c>
      <c r="O33" s="22">
        <f t="shared" si="14"/>
        <v>0</v>
      </c>
      <c r="P33" s="22">
        <f t="shared" si="15"/>
        <v>0</v>
      </c>
      <c r="Q33" s="22">
        <f t="shared" si="16"/>
        <v>0</v>
      </c>
      <c r="R33" s="22">
        <f t="shared" si="21"/>
        <v>0</v>
      </c>
      <c r="S33" s="22">
        <f t="shared" si="22"/>
        <v>0</v>
      </c>
      <c r="T33" s="22">
        <f t="shared" si="23"/>
        <v>0</v>
      </c>
      <c r="U33" s="22">
        <f t="shared" si="24"/>
        <v>0</v>
      </c>
      <c r="V33" s="22">
        <f t="shared" si="25"/>
        <v>0</v>
      </c>
      <c r="W33" s="30">
        <f t="shared" si="26"/>
        <v>0</v>
      </c>
      <c r="X33" s="30">
        <f t="shared" si="27"/>
        <v>0</v>
      </c>
      <c r="Y33" s="30">
        <f t="shared" si="28"/>
        <v>0</v>
      </c>
      <c r="Z33" s="31"/>
      <c r="AA33" s="31"/>
      <c r="AB33" s="31"/>
      <c r="AC33" s="17">
        <v>0.6</v>
      </c>
      <c r="AD33" s="17">
        <v>0.6</v>
      </c>
      <c r="AE33" s="17">
        <v>0.6</v>
      </c>
      <c r="AF33" s="17">
        <f t="shared" si="29"/>
        <v>0</v>
      </c>
      <c r="AG33" s="17"/>
      <c r="AH33" s="21"/>
    </row>
    <row r="34" ht="15" spans="1:34">
      <c r="A34" s="24"/>
      <c r="B34" s="25"/>
      <c r="C34" s="26"/>
      <c r="D34" s="26"/>
      <c r="E34" s="26"/>
      <c r="F34" s="26"/>
      <c r="G34" s="26"/>
      <c r="H34" s="26"/>
      <c r="I34" s="21">
        <v>32</v>
      </c>
      <c r="J34" s="25"/>
      <c r="K34" s="28">
        <f t="shared" si="17"/>
        <v>0</v>
      </c>
      <c r="L34" s="29">
        <f t="shared" si="18"/>
        <v>0</v>
      </c>
      <c r="M34" s="29">
        <f t="shared" si="19"/>
        <v>0</v>
      </c>
      <c r="N34" s="29">
        <f t="shared" si="20"/>
        <v>0</v>
      </c>
      <c r="O34" s="22">
        <f t="shared" si="14"/>
        <v>0</v>
      </c>
      <c r="P34" s="22">
        <f t="shared" si="15"/>
        <v>0</v>
      </c>
      <c r="Q34" s="22">
        <f t="shared" si="16"/>
        <v>0</v>
      </c>
      <c r="R34" s="22">
        <f t="shared" si="21"/>
        <v>0</v>
      </c>
      <c r="S34" s="22">
        <f t="shared" si="22"/>
        <v>0</v>
      </c>
      <c r="T34" s="22">
        <f t="shared" si="23"/>
        <v>0</v>
      </c>
      <c r="U34" s="22">
        <f t="shared" si="24"/>
        <v>0</v>
      </c>
      <c r="V34" s="22">
        <f t="shared" si="25"/>
        <v>0</v>
      </c>
      <c r="W34" s="30">
        <f t="shared" si="26"/>
        <v>0</v>
      </c>
      <c r="X34" s="30">
        <f t="shared" si="27"/>
        <v>0</v>
      </c>
      <c r="Y34" s="30">
        <f t="shared" si="28"/>
        <v>0</v>
      </c>
      <c r="Z34" s="31"/>
      <c r="AA34" s="31"/>
      <c r="AB34" s="31"/>
      <c r="AC34" s="17">
        <v>0.6</v>
      </c>
      <c r="AD34" s="17">
        <v>0.6</v>
      </c>
      <c r="AE34" s="17">
        <v>0.6</v>
      </c>
      <c r="AF34" s="17">
        <f t="shared" si="29"/>
        <v>0</v>
      </c>
      <c r="AG34" s="16"/>
      <c r="AH34" s="16"/>
    </row>
    <row r="35" ht="15" spans="1:34">
      <c r="A35" s="24"/>
      <c r="B35" s="25"/>
      <c r="C35" s="26"/>
      <c r="D35" s="26"/>
      <c r="E35" s="26"/>
      <c r="F35" s="26"/>
      <c r="G35" s="26"/>
      <c r="H35" s="26"/>
      <c r="I35" s="21">
        <v>33</v>
      </c>
      <c r="J35" s="25"/>
      <c r="K35" s="28">
        <f t="shared" si="17"/>
        <v>0</v>
      </c>
      <c r="L35" s="29">
        <f t="shared" si="18"/>
        <v>0</v>
      </c>
      <c r="M35" s="29">
        <f t="shared" si="19"/>
        <v>0</v>
      </c>
      <c r="N35" s="29">
        <f t="shared" si="20"/>
        <v>0</v>
      </c>
      <c r="O35" s="22">
        <f t="shared" si="14"/>
        <v>0</v>
      </c>
      <c r="P35" s="22">
        <f t="shared" si="15"/>
        <v>0</v>
      </c>
      <c r="Q35" s="22">
        <f t="shared" si="16"/>
        <v>0</v>
      </c>
      <c r="R35" s="22">
        <f t="shared" si="21"/>
        <v>0</v>
      </c>
      <c r="S35" s="22">
        <f t="shared" si="22"/>
        <v>0</v>
      </c>
      <c r="T35" s="22">
        <f t="shared" si="23"/>
        <v>0</v>
      </c>
      <c r="U35" s="22">
        <f t="shared" si="24"/>
        <v>0</v>
      </c>
      <c r="V35" s="22">
        <f t="shared" si="25"/>
        <v>0</v>
      </c>
      <c r="W35" s="30">
        <f t="shared" si="26"/>
        <v>0</v>
      </c>
      <c r="X35" s="30">
        <f t="shared" si="27"/>
        <v>0</v>
      </c>
      <c r="Y35" s="30">
        <f t="shared" si="28"/>
        <v>0</v>
      </c>
      <c r="Z35" s="31"/>
      <c r="AA35" s="31"/>
      <c r="AB35" s="31"/>
      <c r="AC35" s="17">
        <v>0.6</v>
      </c>
      <c r="AD35" s="17">
        <v>0.6</v>
      </c>
      <c r="AE35" s="17">
        <v>0.6</v>
      </c>
      <c r="AF35" s="17">
        <f t="shared" si="29"/>
        <v>0</v>
      </c>
      <c r="AG35" s="16"/>
      <c r="AH35" s="16"/>
    </row>
    <row r="36" ht="15" spans="1:34">
      <c r="A36" s="24"/>
      <c r="B36" s="25"/>
      <c r="C36" s="26"/>
      <c r="D36" s="26"/>
      <c r="E36" s="26"/>
      <c r="F36" s="26"/>
      <c r="G36" s="26"/>
      <c r="H36" s="26"/>
      <c r="I36" s="21">
        <v>34</v>
      </c>
      <c r="J36" s="25"/>
      <c r="K36" s="28">
        <f t="shared" si="17"/>
        <v>0</v>
      </c>
      <c r="L36" s="29">
        <f t="shared" si="18"/>
        <v>0</v>
      </c>
      <c r="M36" s="29">
        <f t="shared" si="19"/>
        <v>0</v>
      </c>
      <c r="N36" s="29">
        <f t="shared" si="20"/>
        <v>0</v>
      </c>
      <c r="O36" s="22">
        <f t="shared" si="14"/>
        <v>0</v>
      </c>
      <c r="P36" s="22">
        <f t="shared" si="15"/>
        <v>0</v>
      </c>
      <c r="Q36" s="22">
        <f t="shared" si="16"/>
        <v>0</v>
      </c>
      <c r="R36" s="22">
        <f t="shared" si="21"/>
        <v>0</v>
      </c>
      <c r="S36" s="22">
        <f t="shared" si="22"/>
        <v>0</v>
      </c>
      <c r="T36" s="22">
        <f t="shared" si="23"/>
        <v>0</v>
      </c>
      <c r="U36" s="22">
        <f t="shared" si="24"/>
        <v>0</v>
      </c>
      <c r="V36" s="22">
        <f t="shared" si="25"/>
        <v>0</v>
      </c>
      <c r="W36" s="30">
        <f t="shared" si="26"/>
        <v>0</v>
      </c>
      <c r="X36" s="30">
        <f t="shared" si="27"/>
        <v>0</v>
      </c>
      <c r="Y36" s="30">
        <f t="shared" si="28"/>
        <v>0</v>
      </c>
      <c r="Z36" s="31"/>
      <c r="AA36" s="31"/>
      <c r="AB36" s="31"/>
      <c r="AC36" s="17">
        <v>0.6</v>
      </c>
      <c r="AD36" s="17">
        <v>0.6</v>
      </c>
      <c r="AE36" s="17">
        <v>0.6</v>
      </c>
      <c r="AF36" s="17">
        <f t="shared" si="29"/>
        <v>0</v>
      </c>
      <c r="AG36" s="16"/>
      <c r="AH36" s="16"/>
    </row>
    <row r="37" ht="15" spans="1:34">
      <c r="A37" s="24"/>
      <c r="B37" s="12"/>
      <c r="C37" s="11"/>
      <c r="D37" s="11"/>
      <c r="E37" s="11"/>
      <c r="F37" s="12"/>
      <c r="G37" s="12"/>
      <c r="H37" s="12"/>
      <c r="I37" s="21"/>
      <c r="J37" s="11"/>
      <c r="K37" s="28"/>
      <c r="L37" s="29"/>
      <c r="M37" s="29"/>
      <c r="N37" s="29"/>
      <c r="O37" s="22"/>
      <c r="P37" s="22"/>
      <c r="Q37" s="22"/>
      <c r="R37" s="22"/>
      <c r="S37" s="22"/>
      <c r="T37" s="22"/>
      <c r="U37" s="22"/>
      <c r="V37" s="22"/>
      <c r="W37" s="30"/>
      <c r="X37" s="30"/>
      <c r="Y37" s="30"/>
      <c r="Z37" s="31"/>
      <c r="AA37" s="31"/>
      <c r="AB37" s="31"/>
      <c r="AC37" s="17"/>
      <c r="AD37" s="17"/>
      <c r="AE37" s="17"/>
      <c r="AF37" s="17"/>
      <c r="AG37" s="16"/>
      <c r="AH37" s="16"/>
    </row>
    <row r="38" ht="15" spans="1:34">
      <c r="A38" s="24"/>
      <c r="B38" s="12"/>
      <c r="C38" s="11"/>
      <c r="D38" s="11"/>
      <c r="E38" s="11"/>
      <c r="F38" s="12"/>
      <c r="G38" s="12"/>
      <c r="H38" s="12"/>
      <c r="I38" s="21"/>
      <c r="J38" s="11"/>
      <c r="K38" s="28"/>
      <c r="L38" s="29"/>
      <c r="M38" s="29"/>
      <c r="N38" s="29"/>
      <c r="O38" s="22"/>
      <c r="P38" s="22"/>
      <c r="Q38" s="22"/>
      <c r="R38" s="22"/>
      <c r="S38" s="22"/>
      <c r="T38" s="22"/>
      <c r="U38" s="22"/>
      <c r="V38" s="22"/>
      <c r="W38" s="30"/>
      <c r="X38" s="30"/>
      <c r="Y38" s="30"/>
      <c r="Z38" s="31"/>
      <c r="AA38" s="31"/>
      <c r="AB38" s="31"/>
      <c r="AC38" s="17"/>
      <c r="AD38" s="17"/>
      <c r="AE38" s="17"/>
      <c r="AF38" s="17"/>
      <c r="AG38" s="16"/>
      <c r="AH38" s="16"/>
    </row>
    <row r="39" spans="1:34">
      <c r="A39" s="33"/>
      <c r="B39" s="34"/>
      <c r="C39" s="33"/>
      <c r="D39" s="33"/>
      <c r="E39" s="33"/>
      <c r="F39" s="34"/>
      <c r="G39" s="34"/>
      <c r="H39" s="34"/>
      <c r="J39" s="33"/>
      <c r="K39" s="34"/>
      <c r="L39" s="34"/>
      <c r="M39" s="34"/>
      <c r="N39" s="34"/>
      <c r="O39" s="35"/>
      <c r="P39" s="35"/>
      <c r="Q39" s="35"/>
      <c r="V39" s="35"/>
      <c r="W39" s="36"/>
      <c r="X39" s="36"/>
      <c r="Y39" s="36"/>
      <c r="Z39" s="37"/>
      <c r="AA39" s="37"/>
      <c r="AB39" s="37"/>
      <c r="AC39" s="5"/>
      <c r="AD39" s="5"/>
      <c r="AE39" s="5"/>
      <c r="AF39" s="5"/>
      <c r="AG39" s="5"/>
    </row>
    <row r="40" spans="1:34">
      <c r="A40" s="33"/>
      <c r="B40" s="34"/>
      <c r="C40" s="33"/>
      <c r="D40" s="33"/>
      <c r="E40" s="33"/>
      <c r="F40" s="34"/>
      <c r="G40" s="34"/>
      <c r="H40" s="34"/>
      <c r="J40" s="33"/>
      <c r="K40" s="34"/>
      <c r="L40" s="34"/>
      <c r="M40" s="34"/>
      <c r="N40" s="34"/>
      <c r="O40" s="35"/>
      <c r="P40" s="35"/>
      <c r="Q40" s="35"/>
      <c r="V40" s="35"/>
      <c r="W40" s="36"/>
      <c r="X40" s="36"/>
      <c r="Y40" s="36"/>
      <c r="Z40" s="37"/>
      <c r="AA40" s="37"/>
      <c r="AB40" s="37"/>
      <c r="AC40" s="5"/>
      <c r="AD40" s="5"/>
      <c r="AE40" s="5"/>
      <c r="AF40" s="5"/>
      <c r="AG40" s="5"/>
    </row>
    <row r="41" spans="1:34">
      <c r="A41" s="33"/>
      <c r="B41" s="34"/>
      <c r="C41" s="33"/>
      <c r="D41" s="33"/>
      <c r="E41" s="33"/>
      <c r="F41" s="34"/>
      <c r="G41" s="34"/>
      <c r="H41" s="34"/>
      <c r="J41" s="33"/>
      <c r="K41" s="34"/>
      <c r="L41" s="34"/>
      <c r="M41" s="34"/>
      <c r="N41" s="34"/>
      <c r="O41" s="35"/>
      <c r="P41" s="35"/>
      <c r="Q41" s="35"/>
      <c r="V41" s="35"/>
      <c r="W41" s="36"/>
      <c r="X41" s="36"/>
      <c r="Y41" s="36"/>
      <c r="Z41" s="37"/>
      <c r="AA41" s="37"/>
      <c r="AB41" s="37"/>
      <c r="AC41" s="5"/>
      <c r="AD41" s="5"/>
      <c r="AE41" s="5"/>
      <c r="AF41" s="5"/>
      <c r="AG41" s="5"/>
    </row>
    <row r="42" spans="1:34">
      <c r="A42" s="33"/>
      <c r="B42" s="34"/>
      <c r="C42" s="33"/>
      <c r="D42" s="33"/>
      <c r="E42" s="33"/>
      <c r="F42" s="34"/>
      <c r="G42" s="34"/>
      <c r="H42" s="34"/>
      <c r="J42" s="33"/>
      <c r="K42" s="34"/>
      <c r="L42" s="34"/>
      <c r="M42" s="34"/>
      <c r="N42" s="34"/>
      <c r="O42" s="35"/>
      <c r="P42" s="35"/>
      <c r="Q42" s="35"/>
      <c r="V42" s="35"/>
      <c r="W42" s="36"/>
      <c r="X42" s="36"/>
      <c r="Y42" s="36"/>
      <c r="Z42" s="37"/>
      <c r="AA42" s="37"/>
      <c r="AB42" s="37"/>
      <c r="AC42" s="5"/>
      <c r="AD42" s="5"/>
      <c r="AE42" s="5"/>
      <c r="AF42" s="5"/>
      <c r="AG42" s="5"/>
    </row>
    <row r="43" spans="1:34">
      <c r="A43" s="33"/>
      <c r="B43" s="34"/>
      <c r="C43" s="33"/>
      <c r="D43" s="33"/>
      <c r="E43" s="33"/>
      <c r="F43" s="34"/>
      <c r="G43" s="34"/>
      <c r="H43" s="34"/>
      <c r="J43" s="33"/>
      <c r="K43" s="34"/>
      <c r="L43" s="34"/>
      <c r="M43" s="34"/>
      <c r="N43" s="34"/>
      <c r="O43" s="35"/>
      <c r="P43" s="35"/>
      <c r="Q43" s="35"/>
      <c r="V43" s="35"/>
      <c r="W43" s="36"/>
      <c r="X43" s="36"/>
      <c r="Y43" s="36"/>
      <c r="Z43" s="37"/>
      <c r="AA43" s="37"/>
      <c r="AB43" s="37"/>
      <c r="AC43" s="5"/>
      <c r="AD43" s="5"/>
      <c r="AE43" s="5"/>
      <c r="AF43" s="5"/>
      <c r="AG43" s="5"/>
    </row>
    <row r="44" spans="1:34">
      <c r="A44" s="33"/>
      <c r="B44" s="34"/>
      <c r="C44" s="33"/>
      <c r="D44" s="33"/>
      <c r="E44" s="33"/>
      <c r="F44" s="34"/>
      <c r="G44" s="34"/>
      <c r="H44" s="34"/>
      <c r="J44" s="33"/>
      <c r="K44" s="34"/>
      <c r="L44" s="34"/>
      <c r="M44" s="34"/>
      <c r="N44" s="34"/>
      <c r="O44" s="35"/>
      <c r="P44" s="35"/>
      <c r="Q44" s="35"/>
      <c r="V44" s="35"/>
      <c r="W44" s="36"/>
      <c r="X44" s="36"/>
      <c r="Y44" s="36"/>
      <c r="Z44" s="37"/>
      <c r="AA44" s="37"/>
      <c r="AB44" s="37"/>
      <c r="AC44" s="5"/>
      <c r="AD44" s="5"/>
      <c r="AE44" s="5"/>
      <c r="AF44" s="5"/>
      <c r="AG44" s="5"/>
    </row>
    <row r="45" spans="1:34">
      <c r="A45" s="33"/>
      <c r="B45" s="34"/>
      <c r="C45" s="33"/>
      <c r="D45" s="33"/>
      <c r="E45" s="33"/>
      <c r="F45" s="34"/>
      <c r="G45" s="34"/>
      <c r="H45" s="34"/>
      <c r="J45" s="33"/>
      <c r="K45" s="34"/>
      <c r="L45" s="34"/>
      <c r="M45" s="34"/>
      <c r="N45" s="34"/>
      <c r="O45" s="35"/>
      <c r="P45" s="35"/>
      <c r="Q45" s="35"/>
      <c r="V45" s="35"/>
      <c r="W45" s="36"/>
      <c r="X45" s="36"/>
      <c r="Y45" s="36"/>
      <c r="Z45" s="37"/>
      <c r="AA45" s="37"/>
      <c r="AB45" s="37"/>
      <c r="AC45" s="5"/>
      <c r="AD45" s="5"/>
      <c r="AE45" s="5"/>
      <c r="AF45" s="5"/>
      <c r="AG45" s="5"/>
    </row>
    <row r="46" spans="1:34">
      <c r="A46" s="33"/>
      <c r="B46" s="34"/>
      <c r="C46" s="33"/>
      <c r="D46" s="33"/>
      <c r="E46" s="33"/>
      <c r="F46" s="34"/>
      <c r="G46" s="34"/>
      <c r="H46" s="34"/>
      <c r="J46" s="33"/>
      <c r="K46" s="34"/>
      <c r="L46" s="34"/>
      <c r="M46" s="34"/>
      <c r="N46" s="34"/>
      <c r="O46" s="35"/>
      <c r="P46" s="35"/>
      <c r="Q46" s="35"/>
      <c r="V46" s="35"/>
      <c r="W46" s="36"/>
      <c r="X46" s="36"/>
      <c r="Y46" s="36"/>
      <c r="Z46" s="37"/>
      <c r="AA46" s="37"/>
      <c r="AB46" s="37"/>
      <c r="AC46" s="5"/>
      <c r="AD46" s="5"/>
      <c r="AE46" s="5"/>
      <c r="AF46" s="5"/>
      <c r="AG46" s="5"/>
    </row>
    <row r="47" spans="1:34">
      <c r="A47" s="33"/>
      <c r="B47" s="34"/>
      <c r="C47" s="33"/>
      <c r="D47" s="33"/>
      <c r="E47" s="33"/>
      <c r="F47" s="34"/>
      <c r="G47" s="34"/>
      <c r="H47" s="34"/>
      <c r="J47" s="33"/>
      <c r="K47" s="34"/>
      <c r="L47" s="34"/>
      <c r="M47" s="34"/>
      <c r="N47" s="34"/>
      <c r="O47" s="35"/>
      <c r="P47" s="35"/>
      <c r="Q47" s="35"/>
      <c r="V47" s="35"/>
      <c r="W47" s="36"/>
      <c r="X47" s="36"/>
      <c r="Y47" s="36"/>
      <c r="Z47" s="37"/>
      <c r="AA47" s="37"/>
      <c r="AB47" s="37"/>
      <c r="AC47" s="5"/>
      <c r="AD47" s="5"/>
      <c r="AE47" s="5"/>
      <c r="AF47" s="5"/>
      <c r="AG47" s="5"/>
    </row>
    <row r="48" spans="1:34">
      <c r="A48" s="33"/>
      <c r="B48" s="34"/>
      <c r="C48" s="33"/>
      <c r="D48" s="33"/>
      <c r="E48" s="33"/>
      <c r="F48" s="34"/>
      <c r="G48" s="34"/>
      <c r="H48" s="34"/>
      <c r="J48" s="33"/>
      <c r="K48" s="34"/>
      <c r="L48" s="34"/>
      <c r="M48" s="34"/>
      <c r="N48" s="34"/>
      <c r="O48" s="35"/>
      <c r="P48" s="35"/>
      <c r="Q48" s="35"/>
      <c r="V48" s="35"/>
      <c r="W48" s="36"/>
      <c r="X48" s="36"/>
      <c r="Y48" s="36"/>
      <c r="Z48" s="37"/>
      <c r="AA48" s="37"/>
      <c r="AB48" s="37"/>
      <c r="AC48" s="5"/>
      <c r="AD48" s="5"/>
      <c r="AE48" s="5"/>
      <c r="AF48" s="5"/>
      <c r="AG48" s="5"/>
    </row>
    <row r="49" spans="1:33">
      <c r="A49" s="33"/>
      <c r="B49" s="34"/>
      <c r="C49" s="33"/>
      <c r="D49" s="33"/>
      <c r="E49" s="33"/>
      <c r="F49" s="34"/>
      <c r="G49" s="34"/>
      <c r="H49" s="34"/>
      <c r="J49" s="33"/>
      <c r="K49" s="34"/>
      <c r="L49" s="34"/>
      <c r="M49" s="34"/>
      <c r="N49" s="34"/>
      <c r="O49" s="35"/>
      <c r="P49" s="35"/>
      <c r="Q49" s="35"/>
      <c r="V49" s="35"/>
      <c r="W49" s="36"/>
      <c r="X49" s="36"/>
      <c r="Y49" s="36"/>
      <c r="Z49" s="37"/>
      <c r="AA49" s="37"/>
      <c r="AB49" s="37"/>
      <c r="AC49" s="5"/>
      <c r="AD49" s="5"/>
      <c r="AE49" s="5"/>
      <c r="AF49" s="5"/>
      <c r="AG49" s="5"/>
    </row>
    <row r="50" spans="1:33">
      <c r="I50" s="10"/>
      <c r="O50" s="38"/>
      <c r="P50" s="38"/>
      <c r="Q50" s="38"/>
      <c r="R50" s="38"/>
      <c r="S50" s="38"/>
      <c r="T50" s="38"/>
      <c r="U50" s="38"/>
      <c r="V50" s="38"/>
    </row>
    <row r="51" spans="1:33">
      <c r="I51" s="10"/>
      <c r="O51" s="38"/>
      <c r="P51" s="38"/>
      <c r="Q51" s="38"/>
      <c r="R51" s="38"/>
      <c r="S51" s="38"/>
      <c r="T51" s="38"/>
      <c r="U51" s="38"/>
      <c r="V51" s="38"/>
    </row>
    <row r="52" spans="1:33">
      <c r="I52" s="10"/>
      <c r="O52" s="38"/>
      <c r="P52" s="38"/>
      <c r="Q52" s="38"/>
      <c r="R52" s="38"/>
      <c r="S52" s="38"/>
      <c r="T52" s="38"/>
      <c r="U52" s="38"/>
      <c r="V52" s="38"/>
    </row>
    <row r="53" spans="1:33">
      <c r="I53" s="10"/>
      <c r="O53" s="38"/>
      <c r="P53" s="38"/>
      <c r="Q53" s="38"/>
      <c r="R53" s="38"/>
      <c r="S53" s="38"/>
      <c r="T53" s="38"/>
      <c r="U53" s="38"/>
      <c r="V53" s="38"/>
    </row>
    <row r="54" spans="1:33">
      <c r="I54" s="10"/>
      <c r="O54" s="38"/>
      <c r="P54" s="38"/>
      <c r="Q54" s="38"/>
      <c r="R54" s="38"/>
      <c r="S54" s="38"/>
      <c r="T54" s="38"/>
      <c r="U54" s="38"/>
      <c r="V54" s="38"/>
    </row>
    <row r="55" spans="1:33">
      <c r="I55" s="10"/>
      <c r="O55" s="38"/>
      <c r="P55" s="38"/>
      <c r="Q55" s="38"/>
      <c r="R55" s="38"/>
      <c r="S55" s="38"/>
      <c r="T55" s="38"/>
      <c r="U55" s="38"/>
      <c r="V55" s="38"/>
    </row>
    <row r="56" spans="1:33">
      <c r="I56" s="10"/>
      <c r="O56" s="38"/>
      <c r="P56" s="38"/>
      <c r="Q56" s="38"/>
      <c r="R56" s="38"/>
      <c r="S56" s="38"/>
      <c r="T56" s="38"/>
      <c r="U56" s="38"/>
      <c r="V56" s="38"/>
    </row>
    <row r="57" spans="1:33">
      <c r="I57" s="10"/>
      <c r="O57" s="38"/>
      <c r="P57" s="38"/>
      <c r="Q57" s="38"/>
      <c r="R57" s="38"/>
      <c r="S57" s="38"/>
      <c r="T57" s="38"/>
      <c r="U57" s="38"/>
      <c r="V57" s="38"/>
    </row>
    <row r="58" spans="1:33">
      <c r="I58" s="10"/>
      <c r="O58" s="38"/>
      <c r="P58" s="38"/>
      <c r="Q58" s="38"/>
      <c r="R58" s="38"/>
      <c r="S58" s="38"/>
      <c r="T58" s="38"/>
      <c r="U58" s="38"/>
      <c r="V58" s="38"/>
    </row>
    <row r="59" spans="1:33">
      <c r="I59" s="10"/>
      <c r="O59" s="38"/>
      <c r="P59" s="38"/>
      <c r="Q59" s="38"/>
      <c r="R59" s="38"/>
      <c r="S59" s="38"/>
      <c r="T59" s="38"/>
      <c r="U59" s="38"/>
      <c r="V59" s="38"/>
    </row>
    <row r="60" spans="1:33">
      <c r="I60" s="10"/>
      <c r="O60" s="38"/>
      <c r="P60" s="38"/>
      <c r="Q60" s="38"/>
      <c r="R60" s="38"/>
      <c r="S60" s="38"/>
      <c r="T60" s="38"/>
      <c r="U60" s="38"/>
      <c r="V60" s="38"/>
    </row>
    <row r="61" spans="1:33">
      <c r="I61" s="10"/>
      <c r="O61" s="38"/>
      <c r="P61" s="38"/>
      <c r="Q61" s="38"/>
      <c r="R61" s="38"/>
      <c r="S61" s="38"/>
      <c r="T61" s="38"/>
      <c r="U61" s="38"/>
      <c r="V61" s="38"/>
    </row>
    <row r="62" spans="1:33">
      <c r="I62" s="10"/>
      <c r="O62" s="38"/>
      <c r="P62" s="38"/>
      <c r="Q62" s="38"/>
      <c r="R62" s="38"/>
      <c r="S62" s="38"/>
      <c r="T62" s="38"/>
      <c r="U62" s="38"/>
      <c r="V62" s="38"/>
    </row>
    <row r="63" spans="1:33">
      <c r="I63" s="10"/>
      <c r="O63" s="38"/>
      <c r="P63" s="38"/>
      <c r="Q63" s="38"/>
      <c r="R63" s="38"/>
      <c r="S63" s="38"/>
      <c r="T63" s="38"/>
      <c r="U63" s="38"/>
      <c r="V63" s="38"/>
    </row>
    <row r="64" spans="1:33">
      <c r="I64" s="10"/>
      <c r="O64" s="38"/>
      <c r="P64" s="38"/>
      <c r="Q64" s="38"/>
      <c r="R64" s="38"/>
      <c r="S64" s="38"/>
      <c r="T64" s="38"/>
      <c r="U64" s="38"/>
      <c r="V64" s="38"/>
    </row>
    <row r="65" spans="9:40">
      <c r="I65" s="10"/>
      <c r="O65" s="38"/>
      <c r="P65" s="38"/>
      <c r="Q65" s="38"/>
      <c r="R65" s="38"/>
      <c r="S65" s="38"/>
      <c r="T65" s="38"/>
      <c r="U65" s="38"/>
      <c r="V65" s="38"/>
    </row>
    <row r="66" spans="9:40">
      <c r="I66" s="10"/>
      <c r="O66" s="38"/>
      <c r="P66" s="38"/>
      <c r="Q66" s="38"/>
      <c r="R66" s="38"/>
      <c r="S66" s="38"/>
      <c r="T66" s="38"/>
      <c r="U66" s="38"/>
      <c r="V66" s="38"/>
    </row>
    <row r="67" spans="9:40">
      <c r="I67" s="10"/>
      <c r="O67" s="38"/>
      <c r="P67" s="38"/>
      <c r="Q67" s="38"/>
      <c r="R67" s="38"/>
      <c r="S67" s="38"/>
      <c r="T67" s="38"/>
      <c r="U67" s="38"/>
      <c r="V67" s="38"/>
    </row>
    <row r="68" spans="9:40">
      <c r="I68" s="10"/>
      <c r="O68" s="38"/>
      <c r="P68" s="38"/>
      <c r="Q68" s="38"/>
      <c r="R68" s="38"/>
      <c r="S68" s="38"/>
      <c r="T68" s="38"/>
      <c r="U68" s="38"/>
      <c r="V68" s="38"/>
    </row>
    <row r="69" spans="9:40">
      <c r="I69" s="10"/>
      <c r="O69" s="38"/>
      <c r="P69" s="38"/>
      <c r="Q69" s="38"/>
      <c r="R69" s="38"/>
      <c r="S69" s="38"/>
      <c r="T69" s="38"/>
      <c r="U69" s="38"/>
      <c r="V69" s="38"/>
    </row>
    <row r="70" spans="9:40">
      <c r="I70" s="10"/>
      <c r="O70" s="38"/>
      <c r="P70" s="38"/>
      <c r="Q70" s="38"/>
      <c r="R70" s="38"/>
      <c r="S70" s="38"/>
      <c r="T70" s="38"/>
      <c r="U70" s="38"/>
      <c r="V70" s="38"/>
    </row>
    <row r="71" spans="9:40">
      <c r="I71" s="10"/>
      <c r="O71" s="38"/>
      <c r="P71" s="38"/>
      <c r="Q71" s="38"/>
      <c r="R71" s="38"/>
      <c r="S71" s="38"/>
      <c r="T71" s="38"/>
      <c r="U71" s="38"/>
      <c r="V71" s="38"/>
    </row>
    <row r="72" ht="15" spans="9:40">
      <c r="I72" s="10"/>
      <c r="O72" s="38"/>
      <c r="P72" s="38"/>
      <c r="Q72" s="38"/>
      <c r="R72" s="38"/>
      <c r="S72" s="38"/>
      <c r="T72" s="38"/>
      <c r="U72" s="38"/>
      <c r="V72" s="38"/>
      <c r="AM72" s="39"/>
      <c r="AN72" s="39"/>
    </row>
    <row r="73" ht="15" spans="9:40">
      <c r="I73" s="10"/>
      <c r="O73" s="38"/>
      <c r="P73" s="38"/>
      <c r="Q73" s="38"/>
      <c r="R73" s="38"/>
      <c r="S73" s="38"/>
      <c r="T73" s="38"/>
      <c r="U73" s="38"/>
      <c r="V73" s="38"/>
      <c r="AM73" s="39"/>
      <c r="AN73" s="39"/>
    </row>
    <row r="74" ht="15" spans="9:40">
      <c r="I74" s="10"/>
      <c r="O74" s="38"/>
      <c r="P74" s="38"/>
      <c r="Q74" s="38"/>
      <c r="R74" s="38"/>
      <c r="S74" s="38"/>
      <c r="T74" s="38"/>
      <c r="U74" s="38"/>
      <c r="V74" s="38"/>
      <c r="AM74" s="39"/>
      <c r="AN74" s="37"/>
    </row>
    <row r="75" ht="15" spans="9:40">
      <c r="I75" s="10"/>
      <c r="O75" s="38"/>
      <c r="P75" s="38"/>
      <c r="Q75" s="38"/>
      <c r="R75" s="38"/>
      <c r="S75" s="38"/>
      <c r="T75" s="38"/>
      <c r="U75" s="38"/>
      <c r="V75" s="38"/>
      <c r="AM75" s="39"/>
      <c r="AN75" s="37"/>
    </row>
    <row r="76" spans="9:40">
      <c r="I76" s="10"/>
      <c r="O76" s="38"/>
      <c r="P76" s="38"/>
      <c r="Q76" s="38"/>
      <c r="R76" s="38"/>
      <c r="S76" s="38"/>
      <c r="T76" s="38"/>
      <c r="U76" s="38"/>
      <c r="V76" s="38"/>
    </row>
    <row r="77" spans="9:40">
      <c r="I77" s="10"/>
      <c r="O77" s="38"/>
      <c r="P77" s="38"/>
      <c r="Q77" s="38"/>
      <c r="R77" s="38"/>
      <c r="S77" s="38"/>
      <c r="T77" s="38"/>
      <c r="U77" s="38"/>
      <c r="V77" s="38"/>
    </row>
    <row r="78" spans="9:40">
      <c r="I78" s="10"/>
      <c r="O78" s="38"/>
      <c r="P78" s="38"/>
      <c r="Q78" s="38"/>
      <c r="R78" s="38"/>
      <c r="S78" s="38"/>
      <c r="T78" s="38"/>
      <c r="U78" s="38"/>
      <c r="V78" s="38"/>
    </row>
    <row r="79" spans="9:40">
      <c r="I79" s="10"/>
      <c r="O79" s="38"/>
      <c r="P79" s="38"/>
      <c r="Q79" s="38"/>
      <c r="R79" s="38"/>
      <c r="S79" s="38"/>
      <c r="T79" s="38"/>
      <c r="U79" s="38"/>
      <c r="V79" s="38"/>
    </row>
    <row r="80" spans="9:40">
      <c r="I80" s="10"/>
      <c r="O80" s="38"/>
      <c r="P80" s="38"/>
      <c r="Q80" s="38"/>
      <c r="R80" s="38"/>
      <c r="S80" s="38"/>
      <c r="T80" s="38"/>
      <c r="U80" s="38"/>
      <c r="V80" s="38"/>
    </row>
    <row r="81" spans="9:22">
      <c r="I81" s="10"/>
      <c r="O81" s="38"/>
      <c r="P81" s="38"/>
      <c r="Q81" s="38"/>
      <c r="R81" s="38"/>
      <c r="S81" s="38"/>
      <c r="T81" s="38"/>
      <c r="U81" s="38"/>
      <c r="V81" s="38"/>
    </row>
    <row r="82" spans="9:22">
      <c r="I82" s="10"/>
      <c r="O82" s="38"/>
      <c r="P82" s="38"/>
      <c r="Q82" s="38"/>
      <c r="R82" s="38"/>
      <c r="S82" s="38"/>
      <c r="T82" s="38"/>
      <c r="U82" s="38"/>
      <c r="V82" s="38"/>
    </row>
    <row r="83" spans="9:22">
      <c r="I83" s="10"/>
      <c r="O83" s="38"/>
      <c r="P83" s="38"/>
      <c r="Q83" s="38"/>
      <c r="R83" s="38"/>
      <c r="S83" s="38"/>
      <c r="T83" s="38"/>
      <c r="U83" s="38"/>
      <c r="V83" s="38"/>
    </row>
    <row r="84" spans="9:22">
      <c r="I84" s="10"/>
      <c r="O84" s="38"/>
      <c r="P84" s="38"/>
      <c r="Q84" s="38"/>
      <c r="R84" s="38"/>
      <c r="S84" s="38"/>
      <c r="T84" s="38"/>
      <c r="U84" s="38"/>
      <c r="V84" s="38"/>
    </row>
    <row r="85" spans="9:22">
      <c r="I85" s="10"/>
      <c r="O85" s="38"/>
      <c r="P85" s="38"/>
      <c r="Q85" s="38"/>
      <c r="R85" s="38"/>
      <c r="S85" s="38"/>
      <c r="T85" s="38"/>
      <c r="U85" s="38"/>
      <c r="V85" s="38"/>
    </row>
    <row r="86" spans="9:22">
      <c r="I86" s="10"/>
      <c r="O86" s="38"/>
      <c r="P86" s="38"/>
      <c r="Q86" s="38"/>
      <c r="R86" s="38"/>
      <c r="S86" s="38"/>
      <c r="T86" s="38"/>
      <c r="U86" s="38"/>
      <c r="V86" s="38"/>
    </row>
    <row r="87" spans="9:22">
      <c r="I87" s="10"/>
      <c r="O87" s="38"/>
      <c r="P87" s="38"/>
      <c r="Q87" s="38"/>
      <c r="R87" s="38"/>
      <c r="S87" s="38"/>
      <c r="T87" s="38"/>
      <c r="U87" s="38"/>
      <c r="V87" s="38"/>
    </row>
    <row r="88" spans="9:22">
      <c r="I88" s="10"/>
      <c r="O88" s="38"/>
      <c r="P88" s="38"/>
      <c r="Q88" s="38"/>
      <c r="R88" s="38"/>
      <c r="S88" s="38"/>
      <c r="T88" s="38"/>
      <c r="U88" s="38"/>
      <c r="V88" s="38"/>
    </row>
    <row r="89" spans="9:22">
      <c r="I89" s="10"/>
      <c r="O89" s="38"/>
      <c r="P89" s="38"/>
      <c r="Q89" s="38"/>
      <c r="R89" s="38"/>
      <c r="S89" s="38"/>
      <c r="T89" s="38"/>
      <c r="U89" s="38"/>
      <c r="V89" s="38"/>
    </row>
    <row r="90" ht="20.15" customHeight="1" spans="9:22">
      <c r="O90" s="38"/>
      <c r="P90" s="38"/>
      <c r="Q90" s="38"/>
      <c r="R90" s="38"/>
      <c r="S90" s="38"/>
      <c r="T90" s="38"/>
      <c r="U90" s="38"/>
      <c r="V90" s="38"/>
    </row>
    <row r="91" ht="20.15" customHeight="1"/>
    <row r="92" ht="20.15" customHeight="1"/>
    <row r="93" ht="20.15" customHeight="1"/>
    <row r="94" ht="20.15" customHeight="1"/>
  </sheetData>
  <sortState ref="A3:AG73">
    <sortCondition ref="Y3:Y73"/>
  </sortState>
  <mergeCells count="7">
    <mergeCell ref="K1:N1"/>
    <mergeCell ref="O1:R1"/>
    <mergeCell ref="S1:V1"/>
    <mergeCell ref="W1:Y1"/>
    <mergeCell ref="Z1:AB1"/>
    <mergeCell ref="AC1:AE1"/>
    <mergeCell ref="AM72:AN72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H7"/>
  <sheetViews>
    <sheetView workbookViewId="0">
      <selection activeCell="B50" sqref="B50"/>
    </sheetView>
  </sheetViews>
  <sheetFormatPr defaultColWidth="8.81818181818182" defaultRowHeight="14" outlineLevelRow="6" outlineLevelCol="7"/>
  <cols>
    <col min="1" max="1" width="11.3727272727273" customWidth="1"/>
    <col min="2" max="2" width="11.5454545454545" customWidth="1"/>
  </cols>
  <sheetData>
    <row r="1" spans="1:8">
      <c r="C1" s="1" t="s">
        <v>17</v>
      </c>
      <c r="D1" s="1"/>
      <c r="E1" s="1" t="s">
        <v>18</v>
      </c>
      <c r="F1" s="1"/>
      <c r="G1" s="1" t="s">
        <v>19</v>
      </c>
      <c r="H1" s="1"/>
    </row>
    <row r="2" spans="1:8">
      <c r="B2" s="2" t="s">
        <v>22</v>
      </c>
      <c r="C2" s="1" t="s">
        <v>23</v>
      </c>
      <c r="D2" s="1" t="s">
        <v>24</v>
      </c>
      <c r="E2" s="1" t="s">
        <v>23</v>
      </c>
      <c r="F2" s="1" t="s">
        <v>24</v>
      </c>
      <c r="G2" s="1" t="s">
        <v>23</v>
      </c>
      <c r="H2" s="1" t="s">
        <v>24</v>
      </c>
    </row>
    <row r="3" spans="1:8">
      <c r="A3" s="3" t="s">
        <v>25</v>
      </c>
      <c r="B3" s="2" t="s">
        <v>26</v>
      </c>
      <c r="C3">
        <v>37</v>
      </c>
      <c r="D3" s="4">
        <f>C3/37</f>
        <v>1</v>
      </c>
      <c r="E3">
        <v>0</v>
      </c>
      <c r="F3" s="4">
        <f>E3/37</f>
        <v>0</v>
      </c>
      <c r="G3">
        <v>35</v>
      </c>
      <c r="H3" s="4">
        <f>G3/37</f>
        <v>0.945945945945946</v>
      </c>
    </row>
    <row r="4" spans="1:8">
      <c r="A4" s="3" t="s">
        <v>27</v>
      </c>
      <c r="B4" s="2" t="s">
        <v>28</v>
      </c>
      <c r="C4">
        <v>0</v>
      </c>
      <c r="D4" s="4">
        <f>C4/37</f>
        <v>0</v>
      </c>
      <c r="E4">
        <v>37</v>
      </c>
      <c r="F4" s="4">
        <f>E4/37</f>
        <v>1</v>
      </c>
      <c r="G4">
        <v>2</v>
      </c>
      <c r="H4" s="4">
        <f>G4/37</f>
        <v>0.0540540540540541</v>
      </c>
    </row>
    <row r="5" spans="1:8">
      <c r="A5" s="3" t="s">
        <v>29</v>
      </c>
      <c r="B5" s="2" t="s">
        <v>30</v>
      </c>
      <c r="C5">
        <v>0</v>
      </c>
      <c r="D5" s="4">
        <f>C5/37</f>
        <v>0</v>
      </c>
      <c r="E5">
        <v>0</v>
      </c>
      <c r="F5" s="4">
        <f>E5/37</f>
        <v>0</v>
      </c>
      <c r="G5">
        <v>0</v>
      </c>
      <c r="H5" s="4">
        <f>G5/37</f>
        <v>0</v>
      </c>
    </row>
    <row r="6" spans="1:8">
      <c r="A6" s="3" t="s">
        <v>31</v>
      </c>
      <c r="B6" s="2" t="s">
        <v>32</v>
      </c>
      <c r="C6">
        <v>0</v>
      </c>
      <c r="D6" s="4">
        <f>C6/37</f>
        <v>0</v>
      </c>
      <c r="E6">
        <v>0</v>
      </c>
      <c r="F6" s="4">
        <f>E6/37</f>
        <v>0</v>
      </c>
      <c r="G6">
        <v>0</v>
      </c>
      <c r="H6" s="4">
        <f>G6/37</f>
        <v>0</v>
      </c>
    </row>
    <row r="7" spans="1:8">
      <c r="A7" s="3" t="s">
        <v>33</v>
      </c>
      <c r="B7" s="2" t="s">
        <v>34</v>
      </c>
      <c r="C7">
        <v>0</v>
      </c>
      <c r="D7" s="4">
        <f>C7/37</f>
        <v>0</v>
      </c>
      <c r="E7">
        <v>0</v>
      </c>
      <c r="F7" s="4">
        <f>E7/37</f>
        <v>0</v>
      </c>
      <c r="G7">
        <v>0</v>
      </c>
      <c r="H7" s="4">
        <f>G7/37</f>
        <v>0</v>
      </c>
    </row>
  </sheetData>
  <mergeCells count="3">
    <mergeCell ref="C1:D1"/>
    <mergeCell ref="E1:F1"/>
    <mergeCell ref="G1:H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课程目标达成度计算</vt:lpstr>
      <vt:lpstr>达成度统计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25880</dc:creator>
  <cp:lastModifiedBy>小雨 </cp:lastModifiedBy>
  <dcterms:created xsi:type="dcterms:W3CDTF">2020-04-13T13:03:00Z</dcterms:created>
  <dcterms:modified xsi:type="dcterms:W3CDTF">2026-02-14T07:41:22Z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2EECFF747F37413280428E85CE742EDE_13</vt:lpwstr>
  </property>
  <property fmtid="{D5CDD505-2E9C-101B-9397-08002B2CF9AE}" pid="4" name="CalculationRule">
    <vt:i4>0</vt:i4>
  </property>
</Properties>
</file>