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140C2A8C-55EC-47D3-A855-35923C9C215A}" xr6:coauthVersionLast="47" xr6:coauthVersionMax="47" xr10:uidLastSave="{00000000-0000-0000-0000-000000000000}"/>
  <bookViews>
    <workbookView xWindow="2186" yWindow="0" windowWidth="15540" windowHeight="10886" tabRatio="494" xr2:uid="{00000000-000D-0000-FFFF-FFFF00000000}"/>
  </bookViews>
  <sheets>
    <sheet name="课程目标达成度计算" sheetId="1" r:id="rId1"/>
    <sheet name="达成度统计" sheetId="10" r:id="rId2"/>
  </sheets>
  <definedNames>
    <definedName name="_xlnm._FilterDatabase" localSheetId="0" hidden="1">课程目标达成度计算!$A$2:$AN$15</definedName>
  </definedNames>
  <calcPr calcId="191029"/>
</workbook>
</file>

<file path=xl/calcChain.xml><?xml version="1.0" encoding="utf-8"?>
<calcChain xmlns="http://schemas.openxmlformats.org/spreadsheetml/2006/main">
  <c r="Q14" i="1" l="1"/>
  <c r="P14" i="1"/>
  <c r="O14" i="1"/>
  <c r="Q13" i="1"/>
  <c r="P13" i="1"/>
  <c r="O13" i="1"/>
  <c r="Q12" i="1"/>
  <c r="P12" i="1"/>
  <c r="O12" i="1"/>
  <c r="Q11" i="1" l="1"/>
  <c r="P11" i="1"/>
  <c r="O11" i="1"/>
  <c r="S11" i="1" s="1"/>
  <c r="W11" i="1" s="1"/>
  <c r="Q10" i="1"/>
  <c r="P10" i="1"/>
  <c r="O10" i="1"/>
  <c r="S10" i="1" s="1"/>
  <c r="W10" i="1" s="1"/>
  <c r="P9" i="1"/>
  <c r="O9" i="1"/>
  <c r="S9" i="1" s="1"/>
  <c r="W9" i="1" s="1"/>
  <c r="L9" i="1"/>
  <c r="M9" i="1" s="1"/>
  <c r="Q8" i="1"/>
  <c r="P8" i="1"/>
  <c r="O8" i="1"/>
  <c r="S8" i="1" s="1"/>
  <c r="W8" i="1" s="1"/>
  <c r="L8" i="1"/>
  <c r="M8" i="1" s="1"/>
  <c r="Q7" i="1"/>
  <c r="P7" i="1"/>
  <c r="O7" i="1"/>
  <c r="S7" i="1" s="1"/>
  <c r="W7" i="1" s="1"/>
  <c r="L7" i="1"/>
  <c r="M7" i="1" s="1"/>
  <c r="Q6" i="1"/>
  <c r="P6" i="1"/>
  <c r="O6" i="1"/>
  <c r="S6" i="1" s="1"/>
  <c r="W6" i="1" s="1"/>
  <c r="L6" i="1"/>
  <c r="M6" i="1" s="1"/>
  <c r="Q5" i="1"/>
  <c r="P5" i="1"/>
  <c r="O5" i="1"/>
  <c r="S5" i="1" s="1"/>
  <c r="W5" i="1" s="1"/>
  <c r="L5" i="1"/>
  <c r="M5" i="1" s="1"/>
  <c r="Q4" i="1"/>
  <c r="O4" i="1" s="1"/>
  <c r="S4" i="1" s="1"/>
  <c r="W4" i="1" s="1"/>
  <c r="P4" i="1"/>
  <c r="L4" i="1"/>
  <c r="M4" i="1" s="1"/>
  <c r="Q3" i="1"/>
  <c r="P3" i="1"/>
  <c r="L3" i="1"/>
  <c r="M3" i="1" s="1"/>
  <c r="H7" i="10"/>
  <c r="F7" i="10"/>
  <c r="D7" i="10"/>
  <c r="H6" i="10"/>
  <c r="F6" i="10"/>
  <c r="D6" i="10"/>
  <c r="H5" i="10"/>
  <c r="F5" i="10"/>
  <c r="D5" i="10"/>
  <c r="H4" i="10"/>
  <c r="F4" i="10"/>
  <c r="D4" i="10"/>
  <c r="H3" i="10"/>
  <c r="F3" i="10"/>
  <c r="D3" i="10"/>
  <c r="K15" i="1"/>
  <c r="V14" i="1"/>
  <c r="AF14" i="1" s="1"/>
  <c r="S14" i="1"/>
  <c r="W14" i="1" s="1"/>
  <c r="L14" i="1"/>
  <c r="T14" i="1" s="1"/>
  <c r="X14" i="1" s="1"/>
  <c r="V13" i="1"/>
  <c r="AF13" i="1" s="1"/>
  <c r="S13" i="1"/>
  <c r="W13" i="1" s="1"/>
  <c r="L13" i="1"/>
  <c r="T13" i="1" s="1"/>
  <c r="X13" i="1" s="1"/>
  <c r="V12" i="1"/>
  <c r="AF12" i="1" s="1"/>
  <c r="S12" i="1"/>
  <c r="W12" i="1" s="1"/>
  <c r="L12" i="1"/>
  <c r="V11" i="1"/>
  <c r="AF11" i="1" s="1"/>
  <c r="L11" i="1"/>
  <c r="V10" i="1"/>
  <c r="AF10" i="1" s="1"/>
  <c r="L10" i="1"/>
  <c r="V9" i="1"/>
  <c r="AF9" i="1" s="1"/>
  <c r="V8" i="1"/>
  <c r="AF8" i="1" s="1"/>
  <c r="V7" i="1"/>
  <c r="AF7" i="1" s="1"/>
  <c r="V6" i="1"/>
  <c r="AF6" i="1" s="1"/>
  <c r="V5" i="1"/>
  <c r="AF5" i="1" s="1"/>
  <c r="V4" i="1"/>
  <c r="AF4" i="1" s="1"/>
  <c r="V3" i="1"/>
  <c r="AF3" i="1" s="1"/>
  <c r="T3" i="1"/>
  <c r="X3" i="1" s="1"/>
  <c r="T5" i="1" l="1"/>
  <c r="X5" i="1" s="1"/>
  <c r="T7" i="1"/>
  <c r="X7" i="1" s="1"/>
  <c r="T9" i="1"/>
  <c r="X9" i="1" s="1"/>
  <c r="U4" i="1"/>
  <c r="Y4" i="1" s="1"/>
  <c r="T11" i="1"/>
  <c r="X11" i="1" s="1"/>
  <c r="T10" i="1"/>
  <c r="X10" i="1" s="1"/>
  <c r="T8" i="1"/>
  <c r="X8" i="1" s="1"/>
  <c r="T6" i="1"/>
  <c r="X6" i="1" s="1"/>
  <c r="N5" i="1"/>
  <c r="U5" i="1"/>
  <c r="Y5" i="1" s="1"/>
  <c r="T4" i="1"/>
  <c r="X4" i="1" s="1"/>
  <c r="M14" i="1"/>
  <c r="N14" i="1" s="1"/>
  <c r="M10" i="1"/>
  <c r="U10" i="1" s="1"/>
  <c r="Y10" i="1" s="1"/>
  <c r="L15" i="1"/>
  <c r="T12" i="1"/>
  <c r="X12" i="1" s="1"/>
  <c r="M13" i="1"/>
  <c r="N13" i="1" s="1"/>
  <c r="M12" i="1"/>
  <c r="N12" i="1" s="1"/>
  <c r="P15" i="1"/>
  <c r="M11" i="1"/>
  <c r="N11" i="1" s="1"/>
  <c r="Q15" i="1"/>
  <c r="N6" i="1"/>
  <c r="U6" i="1"/>
  <c r="Y6" i="1" s="1"/>
  <c r="N8" i="1"/>
  <c r="U8" i="1"/>
  <c r="Y8" i="1" s="1"/>
  <c r="U3" i="1"/>
  <c r="Y3" i="1" s="1"/>
  <c r="N3" i="1"/>
  <c r="U7" i="1"/>
  <c r="Y7" i="1" s="1"/>
  <c r="N7" i="1"/>
  <c r="N9" i="1"/>
  <c r="U9" i="1"/>
  <c r="Y9" i="1" s="1"/>
  <c r="AF15" i="1"/>
  <c r="N4" i="1"/>
  <c r="U14" i="1" l="1"/>
  <c r="Y14" i="1" s="1"/>
  <c r="X15" i="1"/>
  <c r="U11" i="1"/>
  <c r="Y11" i="1" s="1"/>
  <c r="U13" i="1"/>
  <c r="Y13" i="1" s="1"/>
  <c r="N10" i="1"/>
  <c r="U12" i="1"/>
  <c r="Y12" i="1" s="1"/>
  <c r="O3" i="1"/>
  <c r="N15" i="1"/>
  <c r="Y15" i="1" l="1"/>
  <c r="S3" i="1"/>
  <c r="W3" i="1" s="1"/>
  <c r="W15" i="1" s="1"/>
  <c r="O15" i="1"/>
</calcChain>
</file>

<file path=xl/sharedStrings.xml><?xml version="1.0" encoding="utf-8"?>
<sst xmlns="http://schemas.openxmlformats.org/spreadsheetml/2006/main" count="86" uniqueCount="50">
  <si>
    <t>平时成绩（30%）</t>
  </si>
  <si>
    <t>期末成绩（70%）改公式</t>
  </si>
  <si>
    <t>总成绩 改公式</t>
  </si>
  <si>
    <t>达成度</t>
  </si>
  <si>
    <t>达成度平均值</t>
  </si>
  <si>
    <t>达成度期望值</t>
  </si>
  <si>
    <t>算平均值</t>
  </si>
  <si>
    <t>班级</t>
  </si>
  <si>
    <t>学号</t>
  </si>
  <si>
    <t>目标一</t>
  </si>
  <si>
    <t>目标二</t>
  </si>
  <si>
    <t>目标三</t>
  </si>
  <si>
    <t>平时成绩</t>
  </si>
  <si>
    <t>期末成绩</t>
  </si>
  <si>
    <t>总成绩</t>
  </si>
  <si>
    <t>序号</t>
  </si>
  <si>
    <t>姓名</t>
  </si>
  <si>
    <t>目标1</t>
  </si>
  <si>
    <t>目标2</t>
  </si>
  <si>
    <t>目标3</t>
  </si>
  <si>
    <t>总达成度</t>
  </si>
  <si>
    <t>总达成度平均值</t>
  </si>
  <si>
    <t>对应分数</t>
  </si>
  <si>
    <t>人数</t>
  </si>
  <si>
    <t>占比</t>
  </si>
  <si>
    <t>完全达成</t>
  </si>
  <si>
    <t>&gt;0.8</t>
  </si>
  <si>
    <t>较好达成</t>
  </si>
  <si>
    <t>0.6-0.8</t>
  </si>
  <si>
    <t>基本达成</t>
  </si>
  <si>
    <t>0.5-0.6</t>
  </si>
  <si>
    <t>较少达成</t>
  </si>
  <si>
    <t>0.4-0.5</t>
  </si>
  <si>
    <t>没有达成</t>
  </si>
  <si>
    <t>&lt;0.4</t>
  </si>
  <si>
    <t>音表2111</t>
    <phoneticPr fontId="11" type="noConversion"/>
  </si>
  <si>
    <t>202121241003</t>
    <phoneticPr fontId="11" type="noConversion"/>
  </si>
  <si>
    <t>王怡丹</t>
    <phoneticPr fontId="11" type="noConversion"/>
  </si>
  <si>
    <t>202121241006</t>
    <phoneticPr fontId="11" type="noConversion"/>
  </si>
  <si>
    <t>邵嘉怡</t>
  </si>
  <si>
    <t>武琦涵</t>
    <phoneticPr fontId="11" type="noConversion"/>
  </si>
  <si>
    <t>郭锦阳</t>
    <phoneticPr fontId="11" type="noConversion"/>
  </si>
  <si>
    <t>李丹青</t>
    <phoneticPr fontId="11" type="noConversion"/>
  </si>
  <si>
    <t>张浩新</t>
    <phoneticPr fontId="11" type="noConversion"/>
  </si>
  <si>
    <t>张铭今</t>
    <phoneticPr fontId="11" type="noConversion"/>
  </si>
  <si>
    <t>高睿</t>
    <phoneticPr fontId="11" type="noConversion"/>
  </si>
  <si>
    <t>闵洋</t>
    <phoneticPr fontId="11" type="noConversion"/>
  </si>
  <si>
    <t>李思远</t>
    <phoneticPr fontId="11" type="noConversion"/>
  </si>
  <si>
    <t>樊航宇</t>
    <phoneticPr fontId="11" type="noConversion"/>
  </si>
  <si>
    <t>孙煜心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</si>
</sst>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00_ "/>
  </numFmts>
  <fonts count="16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0"/>
      <name val="Arial"/>
      <family val="2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0" fontId="0" fillId="0" borderId="0" xfId="1" applyNumberFormat="1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0" fontId="8" fillId="0" borderId="1" xfId="0" applyFont="1" applyBorder="1">
      <alignment vertical="center"/>
    </xf>
    <xf numFmtId="178" fontId="0" fillId="0" borderId="0" xfId="0" applyNumberFormat="1">
      <alignment vertical="center"/>
    </xf>
    <xf numFmtId="0" fontId="9" fillId="0" borderId="0" xfId="0" applyFon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/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0" xfId="0" applyNumberFormat="1" applyFont="1">
      <alignment vertical="center"/>
    </xf>
    <xf numFmtId="0" fontId="12" fillId="0" borderId="1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 wrapText="1"/>
    </xf>
    <xf numFmtId="0" fontId="12" fillId="0" borderId="0" xfId="0" applyFont="1">
      <alignment vertical="center"/>
    </xf>
    <xf numFmtId="176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178" fontId="13" fillId="0" borderId="1" xfId="0" applyNumberFormat="1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420454545454"/>
          <c:y val="7.8790786655821801E-2"/>
          <c:w val="0.751988636363637"/>
          <c:h val="0.7533634311512420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5496269428139299E-3"/>
                  <c:y val="-0.380168557951246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99-4CA4-B682-BA70985CB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课程目标达成度计算!#REF!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99-4CA4-B682-BA70985CB6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7396864"/>
        <c:axId val="207398784"/>
      </c:barChart>
      <c:catAx>
        <c:axId val="2073968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</a:rPr>
                  <a:t>课程目标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398784"/>
        <c:crosses val="autoZero"/>
        <c:auto val="1"/>
        <c:lblAlgn val="ctr"/>
        <c:lblOffset val="100"/>
        <c:noMultiLvlLbl val="0"/>
      </c:catAx>
      <c:valAx>
        <c:axId val="207398784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</a:rPr>
                  <a:t>课程目标整体达成度</a:t>
                </a:r>
              </a:p>
            </c:rich>
          </c:tx>
          <c:layout>
            <c:manualLayout>
              <c:xMode val="edge"/>
              <c:yMode val="edge"/>
              <c:x val="4.8102317501356198E-2"/>
              <c:y val="0.282663656884875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3968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6c2b78c-93c0-41b0-82fe-63810a1184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6"/>
          <c:y val="9.2715990314740995E-2"/>
          <c:w val="0.77413853115210596"/>
          <c:h val="0.65909080710278001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课程目标达成度计算!$W$3:$W$70</c:f>
              <c:numCache>
                <c:formatCode>0.00_ </c:formatCode>
                <c:ptCount val="68"/>
                <c:pt idx="0">
                  <c:v>0.87419999999999998</c:v>
                </c:pt>
                <c:pt idx="1">
                  <c:v>0.7426666666666667</c:v>
                </c:pt>
                <c:pt idx="2">
                  <c:v>0.87666666666666659</c:v>
                </c:pt>
                <c:pt idx="3">
                  <c:v>0.8773333333333333</c:v>
                </c:pt>
                <c:pt idx="4">
                  <c:v>0.84200000000000008</c:v>
                </c:pt>
                <c:pt idx="5">
                  <c:v>0.93833333333333324</c:v>
                </c:pt>
                <c:pt idx="6">
                  <c:v>0.89166666666666661</c:v>
                </c:pt>
                <c:pt idx="7">
                  <c:v>0.8886666666666666</c:v>
                </c:pt>
                <c:pt idx="8">
                  <c:v>0.83</c:v>
                </c:pt>
                <c:pt idx="9">
                  <c:v>0.86166666666666658</c:v>
                </c:pt>
                <c:pt idx="10">
                  <c:v>0.90066666666666662</c:v>
                </c:pt>
                <c:pt idx="11">
                  <c:v>0.8886666666666666</c:v>
                </c:pt>
                <c:pt idx="12">
                  <c:v>0.86771111111111121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9-4E84-BBFE-EB37A76ECCA3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课程目标达成度计算!$Z$3:$Z$70</c:f>
              <c:numCache>
                <c:formatCode>0.000_ </c:formatCode>
                <c:ptCount val="68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0.92</c:v>
                </c:pt>
                <c:pt idx="8">
                  <c:v>0.92</c:v>
                </c:pt>
                <c:pt idx="9">
                  <c:v>0.92</c:v>
                </c:pt>
                <c:pt idx="10">
                  <c:v>0.92</c:v>
                </c:pt>
                <c:pt idx="11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89-4E84-BBFE-EB37A76ECCA3}"/>
            </c:ext>
          </c:extLst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课程目标达成度计算!$AC$3:$AC$70</c:f>
              <c:numCache>
                <c:formatCode>General</c:formatCode>
                <c:ptCount val="6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89-4E84-BBFE-EB37A76EC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20032"/>
        <c:axId val="265679616"/>
      </c:scatterChart>
      <c:valAx>
        <c:axId val="207420032"/>
        <c:scaling>
          <c:orientation val="minMax"/>
          <c:max val="3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</a:p>
            </c:rich>
          </c:tx>
          <c:layout>
            <c:manualLayout>
              <c:xMode val="edge"/>
              <c:yMode val="edge"/>
              <c:x val="0.46668975302520899"/>
              <c:y val="0.8579110620063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5679616"/>
        <c:crosses val="autoZero"/>
        <c:crossBetween val="midCat"/>
        <c:majorUnit val="5"/>
      </c:valAx>
      <c:valAx>
        <c:axId val="265679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课程目标</a:t>
                </a:r>
                <a:r>
                  <a:rPr lang="en-US" altLang="zh-CN"/>
                  <a:t>1</a:t>
                </a:r>
                <a:r>
                  <a:rPr lang="zh-CN" altLang="en-US"/>
                  <a:t>达成度</a:t>
                </a:r>
              </a:p>
            </c:rich>
          </c:tx>
          <c:layout>
            <c:manualLayout>
              <c:xMode val="edge"/>
              <c:yMode val="edge"/>
              <c:x val="5.3114618704598403E-2"/>
              <c:y val="0.401999363632924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42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525b84-d4d0-479d-bffe-1129a4e02c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7"/>
          <c:y val="9.2715990314740995E-2"/>
          <c:w val="0.77413853115210696"/>
          <c:h val="0.65909080710278001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课程目标达成度计算!$X$3:$X$70</c:f>
              <c:numCache>
                <c:formatCode>0.00_ </c:formatCode>
                <c:ptCount val="68"/>
                <c:pt idx="0">
                  <c:v>0.92599999999999993</c:v>
                </c:pt>
                <c:pt idx="1">
                  <c:v>0.8919999999999999</c:v>
                </c:pt>
                <c:pt idx="2">
                  <c:v>0.9</c:v>
                </c:pt>
                <c:pt idx="3">
                  <c:v>0.93799999999999983</c:v>
                </c:pt>
                <c:pt idx="4">
                  <c:v>0.94</c:v>
                </c:pt>
                <c:pt idx="5">
                  <c:v>0.94299999999999995</c:v>
                </c:pt>
                <c:pt idx="6">
                  <c:v>0.95699999999999985</c:v>
                </c:pt>
                <c:pt idx="7">
                  <c:v>0.92599999999999993</c:v>
                </c:pt>
                <c:pt idx="8">
                  <c:v>0.8859999999999999</c:v>
                </c:pt>
                <c:pt idx="9">
                  <c:v>0.88500000000000001</c:v>
                </c:pt>
                <c:pt idx="10">
                  <c:v>0.95199999999999985</c:v>
                </c:pt>
                <c:pt idx="11">
                  <c:v>0.91199999999999992</c:v>
                </c:pt>
                <c:pt idx="12">
                  <c:v>0.92141666666666655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E-4498-A1B0-163F27A5B6C4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课程目标达成度计算!$AA$3:$AA$70</c:f>
              <c:numCache>
                <c:formatCode>0.000_ </c:formatCode>
                <c:ptCount val="68"/>
                <c:pt idx="0">
                  <c:v>0.94</c:v>
                </c:pt>
                <c:pt idx="1">
                  <c:v>0.94</c:v>
                </c:pt>
                <c:pt idx="2">
                  <c:v>0.94</c:v>
                </c:pt>
                <c:pt idx="3">
                  <c:v>0.94</c:v>
                </c:pt>
                <c:pt idx="4">
                  <c:v>0.94</c:v>
                </c:pt>
                <c:pt idx="5">
                  <c:v>0.94</c:v>
                </c:pt>
                <c:pt idx="6">
                  <c:v>0.94</c:v>
                </c:pt>
                <c:pt idx="7">
                  <c:v>0.94</c:v>
                </c:pt>
                <c:pt idx="8">
                  <c:v>0.94</c:v>
                </c:pt>
                <c:pt idx="9">
                  <c:v>0.94</c:v>
                </c:pt>
                <c:pt idx="10">
                  <c:v>0.94</c:v>
                </c:pt>
                <c:pt idx="11">
                  <c:v>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FE-4498-A1B0-163F27A5B6C4}"/>
            </c:ext>
          </c:extLst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课程目标达成度计算!$AD$3:$AD$70</c:f>
              <c:numCache>
                <c:formatCode>General</c:formatCode>
                <c:ptCount val="6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FE-4498-A1B0-163F27A5B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427776"/>
        <c:axId val="266442240"/>
      </c:scatterChart>
      <c:valAx>
        <c:axId val="266427776"/>
        <c:scaling>
          <c:orientation val="minMax"/>
          <c:max val="35"/>
          <c:min val="0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15000"/>
                  <a:lumOff val="85000"/>
                </a:sys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</a:p>
            </c:rich>
          </c:tx>
          <c:layout>
            <c:manualLayout>
              <c:xMode val="edge"/>
              <c:yMode val="edge"/>
              <c:x val="0.46668975302520899"/>
              <c:y val="0.8579110620063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442240"/>
        <c:crosses val="autoZero"/>
        <c:crossBetween val="midCat"/>
        <c:majorUnit val="5"/>
      </c:valAx>
      <c:valAx>
        <c:axId val="266442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课程目标</a:t>
                </a:r>
                <a:r>
                  <a:rPr lang="en-US" altLang="zh-CN"/>
                  <a:t>2</a:t>
                </a:r>
                <a:r>
                  <a:rPr lang="zh-CN" altLang="en-US"/>
                  <a:t>达成度</a:t>
                </a:r>
              </a:p>
            </c:rich>
          </c:tx>
          <c:layout>
            <c:manualLayout>
              <c:xMode val="edge"/>
              <c:yMode val="edge"/>
              <c:x val="5.3114618704598403E-2"/>
              <c:y val="0.401999363632924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42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adfac4-c5aa-4c0d-9716-95e2bcb280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7"/>
          <c:y val="9.2715990314740995E-2"/>
          <c:w val="0.77413853115210696"/>
          <c:h val="0.65909080710278001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课程目标达成度计算!$Y$3:$Y$70</c:f>
              <c:numCache>
                <c:formatCode>0.00_ </c:formatCode>
                <c:ptCount val="68"/>
                <c:pt idx="0">
                  <c:v>0.91199999999999992</c:v>
                </c:pt>
                <c:pt idx="1">
                  <c:v>0.83599999999999997</c:v>
                </c:pt>
                <c:pt idx="2">
                  <c:v>0.83</c:v>
                </c:pt>
                <c:pt idx="3">
                  <c:v>0.8889999999999999</c:v>
                </c:pt>
                <c:pt idx="4">
                  <c:v>0.91199999999999992</c:v>
                </c:pt>
                <c:pt idx="5">
                  <c:v>0.88</c:v>
                </c:pt>
                <c:pt idx="6">
                  <c:v>0.92899999999999994</c:v>
                </c:pt>
                <c:pt idx="7">
                  <c:v>0.87699999999999989</c:v>
                </c:pt>
                <c:pt idx="8">
                  <c:v>0.86499999999999999</c:v>
                </c:pt>
                <c:pt idx="9">
                  <c:v>0.81499999999999995</c:v>
                </c:pt>
                <c:pt idx="10">
                  <c:v>0.92399999999999993</c:v>
                </c:pt>
                <c:pt idx="11">
                  <c:v>0.80700000000000005</c:v>
                </c:pt>
                <c:pt idx="12">
                  <c:v>0.87299999999999989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0-4537-ADCA-DD81672674FD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课程目标达成度计算!$AB$3:$AB$70</c:f>
              <c:numCache>
                <c:formatCode>0.000_ </c:formatCode>
                <c:ptCount val="68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0.92</c:v>
                </c:pt>
                <c:pt idx="8">
                  <c:v>0.92</c:v>
                </c:pt>
                <c:pt idx="9">
                  <c:v>0.92</c:v>
                </c:pt>
                <c:pt idx="10">
                  <c:v>0.92</c:v>
                </c:pt>
                <c:pt idx="11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00-4537-ADCA-DD81672674FD}"/>
            </c:ext>
          </c:extLst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课程目标达成度计算!$AE$3:$AE$70</c:f>
              <c:numCache>
                <c:formatCode>General</c:formatCode>
                <c:ptCount val="6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00-4537-ADCA-DD8167267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89408"/>
        <c:axId val="205095680"/>
      </c:scatterChart>
      <c:valAx>
        <c:axId val="205089408"/>
        <c:scaling>
          <c:orientation val="minMax"/>
          <c:max val="35"/>
          <c:min val="0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15000"/>
                  <a:lumOff val="85000"/>
                </a:sys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</a:p>
            </c:rich>
          </c:tx>
          <c:layout>
            <c:manualLayout>
              <c:xMode val="edge"/>
              <c:yMode val="edge"/>
              <c:x val="0.46668975302520899"/>
              <c:y val="0.8579110620063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95680"/>
        <c:crosses val="autoZero"/>
        <c:crossBetween val="midCat"/>
        <c:majorUnit val="5"/>
      </c:valAx>
      <c:valAx>
        <c:axId val="205095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课程目标</a:t>
                </a:r>
                <a:r>
                  <a:rPr lang="en-US" altLang="zh-CN"/>
                  <a:t>3</a:t>
                </a:r>
                <a:r>
                  <a:rPr lang="zh-CN" altLang="en-US"/>
                  <a:t>达成度</a:t>
                </a:r>
              </a:p>
            </c:rich>
          </c:tx>
          <c:layout>
            <c:manualLayout>
              <c:xMode val="edge"/>
              <c:yMode val="edge"/>
              <c:x val="5.3114618704598403E-2"/>
              <c:y val="0.401999363632924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8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278b858-b9ca-485f-babb-769a8e420a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7"/>
          <c:y val="9.2715990314740995E-2"/>
          <c:w val="0.77413853115210696"/>
          <c:h val="0.65909080710278001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课程目标达成度计算!$AF$3:$AF$14</c:f>
              <c:numCache>
                <c:formatCode>General</c:formatCode>
                <c:ptCount val="12"/>
                <c:pt idx="0">
                  <c:v>0.92</c:v>
                </c:pt>
                <c:pt idx="1">
                  <c:v>0.89</c:v>
                </c:pt>
                <c:pt idx="2">
                  <c:v>0.88</c:v>
                </c:pt>
                <c:pt idx="3">
                  <c:v>0.91</c:v>
                </c:pt>
                <c:pt idx="4">
                  <c:v>0.9</c:v>
                </c:pt>
                <c:pt idx="5">
                  <c:v>0.93</c:v>
                </c:pt>
                <c:pt idx="6">
                  <c:v>0.92</c:v>
                </c:pt>
                <c:pt idx="7">
                  <c:v>0.91</c:v>
                </c:pt>
                <c:pt idx="8">
                  <c:v>0.87</c:v>
                </c:pt>
                <c:pt idx="9">
                  <c:v>0.86</c:v>
                </c:pt>
                <c:pt idx="10">
                  <c:v>0.93</c:v>
                </c:pt>
                <c:pt idx="11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4-43BC-A292-CA0BA185BBAB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课程目标达成度计算!$AG$3:$AG$14</c:f>
              <c:numCache>
                <c:formatCode>General</c:formatCode>
                <c:ptCount val="12"/>
                <c:pt idx="0">
                  <c:v>0.89900000000000002</c:v>
                </c:pt>
                <c:pt idx="1">
                  <c:v>0.89900000000000002</c:v>
                </c:pt>
                <c:pt idx="2">
                  <c:v>0.89900000000000002</c:v>
                </c:pt>
                <c:pt idx="3">
                  <c:v>0.89900000000000002</c:v>
                </c:pt>
                <c:pt idx="4">
                  <c:v>0.89900000000000002</c:v>
                </c:pt>
                <c:pt idx="5">
                  <c:v>0.89900000000000002</c:v>
                </c:pt>
                <c:pt idx="6">
                  <c:v>0.89900000000000002</c:v>
                </c:pt>
                <c:pt idx="7">
                  <c:v>0.89900000000000002</c:v>
                </c:pt>
                <c:pt idx="8">
                  <c:v>0.89900000000000002</c:v>
                </c:pt>
                <c:pt idx="9">
                  <c:v>0.89900000000000002</c:v>
                </c:pt>
                <c:pt idx="10">
                  <c:v>0.89900000000000002</c:v>
                </c:pt>
                <c:pt idx="11">
                  <c:v>0.89900000000000002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B4-43BC-A292-CA0BA185BBAB}"/>
            </c:ext>
          </c:extLst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课程目标达成度计算!$I$3:$I$70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课程目标达成度计算!$AE$3:$AE$70</c:f>
              <c:numCache>
                <c:formatCode>General</c:formatCode>
                <c:ptCount val="68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B4-43BC-A292-CA0BA185B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57280"/>
        <c:axId val="205467648"/>
      </c:scatterChart>
      <c:valAx>
        <c:axId val="205457280"/>
        <c:scaling>
          <c:orientation val="minMax"/>
          <c:max val="35"/>
          <c:min val="0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15000"/>
                  <a:lumOff val="85000"/>
                </a:sys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</a:p>
            </c:rich>
          </c:tx>
          <c:layout>
            <c:manualLayout>
              <c:xMode val="edge"/>
              <c:yMode val="edge"/>
              <c:x val="0.46668975302520899"/>
              <c:y val="0.8579110620063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467648"/>
        <c:crosses val="autoZero"/>
        <c:crossBetween val="midCat"/>
        <c:majorUnit val="5"/>
      </c:valAx>
      <c:valAx>
        <c:axId val="205467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课程总目标达成度</a:t>
                </a:r>
              </a:p>
            </c:rich>
          </c:tx>
          <c:layout>
            <c:manualLayout>
              <c:xMode val="edge"/>
              <c:yMode val="edge"/>
              <c:x val="5.8447952037931697E-2"/>
              <c:y val="0.319890461299303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45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0f1924-39f0-4145-8e27-4a431a9d2b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课程目标</a:t>
            </a:r>
            <a:r>
              <a:rPr lang="en-US" altLang="zh-CN"/>
              <a:t>1</a:t>
            </a:r>
            <a:r>
              <a:rPr lang="zh-CN" altLang="en-US"/>
              <a:t>达成度人数占比统计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达成度统计!$D$2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达成度统计!$A$3:$A$7</c:f>
              <c:strCache>
                <c:ptCount val="5"/>
                <c:pt idx="0">
                  <c:v>完全达成</c:v>
                </c:pt>
                <c:pt idx="1">
                  <c:v>较好达成</c:v>
                </c:pt>
                <c:pt idx="2">
                  <c:v>基本达成</c:v>
                </c:pt>
                <c:pt idx="3">
                  <c:v>较少达成</c:v>
                </c:pt>
                <c:pt idx="4">
                  <c:v>没有达成</c:v>
                </c:pt>
              </c:strCache>
            </c:strRef>
          </c:cat>
          <c:val>
            <c:numRef>
              <c:f>达成度统计!$D$3:$D$7</c:f>
              <c:numCache>
                <c:formatCode>0.00%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A-492A-98FE-49E0BC6EC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78528"/>
        <c:axId val="205504896"/>
      </c:barChart>
      <c:catAx>
        <c:axId val="205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504896"/>
        <c:crosses val="autoZero"/>
        <c:auto val="1"/>
        <c:lblAlgn val="ctr"/>
        <c:lblOffset val="100"/>
        <c:noMultiLvlLbl val="0"/>
      </c:catAx>
      <c:valAx>
        <c:axId val="2055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ea3317-5298-48c1-92f6-20cc283f04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课程目标</a:t>
            </a:r>
            <a:r>
              <a:rPr lang="en-US" altLang="zh-CN"/>
              <a:t>2</a:t>
            </a:r>
            <a:r>
              <a:rPr lang="zh-CN" altLang="en-US"/>
              <a:t>达成度人数占比统计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达成度统计!$F$2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达成度统计!$A$3:$A$7</c:f>
              <c:strCache>
                <c:ptCount val="5"/>
                <c:pt idx="0">
                  <c:v>完全达成</c:v>
                </c:pt>
                <c:pt idx="1">
                  <c:v>较好达成</c:v>
                </c:pt>
                <c:pt idx="2">
                  <c:v>基本达成</c:v>
                </c:pt>
                <c:pt idx="3">
                  <c:v>较少达成</c:v>
                </c:pt>
                <c:pt idx="4">
                  <c:v>没有达成</c:v>
                </c:pt>
              </c:strCache>
            </c:strRef>
          </c:cat>
          <c:val>
            <c:numRef>
              <c:f>达成度统计!$F$3:$F$7</c:f>
              <c:numCache>
                <c:formatCode>0.00%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2-4A53-A1B1-205058617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02816"/>
        <c:axId val="205604352"/>
      </c:barChart>
      <c:catAx>
        <c:axId val="2056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04352"/>
        <c:crosses val="autoZero"/>
        <c:auto val="1"/>
        <c:lblAlgn val="ctr"/>
        <c:lblOffset val="100"/>
        <c:noMultiLvlLbl val="0"/>
      </c:catAx>
      <c:valAx>
        <c:axId val="2056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0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b6d188-d5f3-4356-8745-93a202a644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课程目标</a:t>
            </a:r>
            <a:r>
              <a:rPr lang="en-US" altLang="zh-CN"/>
              <a:t>3</a:t>
            </a:r>
            <a:r>
              <a:rPr lang="zh-CN" altLang="en-US"/>
              <a:t>达成度人数占比统计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达成度统计!$H$2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达成度统计!$A$3:$A$7</c:f>
              <c:strCache>
                <c:ptCount val="5"/>
                <c:pt idx="0">
                  <c:v>完全达成</c:v>
                </c:pt>
                <c:pt idx="1">
                  <c:v>较好达成</c:v>
                </c:pt>
                <c:pt idx="2">
                  <c:v>基本达成</c:v>
                </c:pt>
                <c:pt idx="3">
                  <c:v>较少达成</c:v>
                </c:pt>
                <c:pt idx="4">
                  <c:v>没有达成</c:v>
                </c:pt>
              </c:strCache>
            </c:strRef>
          </c:cat>
          <c:val>
            <c:numRef>
              <c:f>达成度统计!$H$3:$H$7</c:f>
              <c:numCache>
                <c:formatCode>0.00%</c:formatCode>
                <c:ptCount val="5"/>
                <c:pt idx="0">
                  <c:v>0.94594594594594605</c:v>
                </c:pt>
                <c:pt idx="1">
                  <c:v>5.4054054054054099E-2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2-4239-903A-73BC80B7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24448"/>
        <c:axId val="205625984"/>
      </c:barChart>
      <c:catAx>
        <c:axId val="20562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25984"/>
        <c:crosses val="autoZero"/>
        <c:auto val="1"/>
        <c:lblAlgn val="ctr"/>
        <c:lblOffset val="100"/>
        <c:noMultiLvlLbl val="0"/>
      </c:catAx>
      <c:valAx>
        <c:axId val="20562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2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7f82da-1331-4ee1-9484-caf6d9fe1b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248285</xdr:colOff>
      <xdr:row>14</xdr:row>
      <xdr:rowOff>160020</xdr:rowOff>
    </xdr:from>
    <xdr:to>
      <xdr:col>42</xdr:col>
      <xdr:colOff>238760</xdr:colOff>
      <xdr:row>16</xdr:row>
      <xdr:rowOff>124460</xdr:rowOff>
    </xdr:to>
    <xdr:graphicFrame macro="">
      <xdr:nvGraphicFramePr>
        <xdr:cNvPr id="5" name="图表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524024</xdr:colOff>
      <xdr:row>0</xdr:row>
      <xdr:rowOff>0</xdr:rowOff>
    </xdr:from>
    <xdr:to>
      <xdr:col>44</xdr:col>
      <xdr:colOff>572956</xdr:colOff>
      <xdr:row>14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54239</xdr:colOff>
      <xdr:row>0</xdr:row>
      <xdr:rowOff>298078</xdr:rowOff>
    </xdr:from>
    <xdr:to>
      <xdr:col>56</xdr:col>
      <xdr:colOff>114824</xdr:colOff>
      <xdr:row>14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503555</xdr:colOff>
      <xdr:row>14</xdr:row>
      <xdr:rowOff>0</xdr:rowOff>
    </xdr:from>
    <xdr:to>
      <xdr:col>45</xdr:col>
      <xdr:colOff>6985</xdr:colOff>
      <xdr:row>30</xdr:row>
      <xdr:rowOff>139700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169545</xdr:colOff>
      <xdr:row>14</xdr:row>
      <xdr:rowOff>0</xdr:rowOff>
    </xdr:from>
    <xdr:to>
      <xdr:col>56</xdr:col>
      <xdr:colOff>229870</xdr:colOff>
      <xdr:row>30</xdr:row>
      <xdr:rowOff>119380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9</xdr:row>
      <xdr:rowOff>7620</xdr:rowOff>
    </xdr:from>
    <xdr:to>
      <xdr:col>7</xdr:col>
      <xdr:colOff>15240</xdr:colOff>
      <xdr:row>24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129540</xdr:colOff>
      <xdr:row>9</xdr:row>
      <xdr:rowOff>22860</xdr:rowOff>
    </xdr:from>
    <xdr:to>
      <xdr:col>14</xdr:col>
      <xdr:colOff>487680</xdr:colOff>
      <xdr:row>24</xdr:row>
      <xdr:rowOff>22860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586740</xdr:colOff>
      <xdr:row>8</xdr:row>
      <xdr:rowOff>160020</xdr:rowOff>
    </xdr:from>
    <xdr:to>
      <xdr:col>22</xdr:col>
      <xdr:colOff>342900</xdr:colOff>
      <xdr:row>23</xdr:row>
      <xdr:rowOff>160020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75"/>
  <sheetViews>
    <sheetView tabSelected="1" zoomScale="85" zoomScaleNormal="85" workbookViewId="0">
      <selection activeCell="I19" sqref="I19"/>
    </sheetView>
  </sheetViews>
  <sheetFormatPr defaultColWidth="8.84375" defaultRowHeight="14.15" x14ac:dyDescent="0.3"/>
  <cols>
    <col min="1" max="1" width="10.69140625" customWidth="1"/>
    <col min="2" max="2" width="16.4609375" customWidth="1"/>
    <col min="3" max="5" width="8.69140625" style="1"/>
    <col min="6" max="6" width="10.15234375" style="1" customWidth="1"/>
    <col min="7" max="8" width="8.69140625" style="1"/>
    <col min="9" max="9" width="5.3828125" style="4" customWidth="1"/>
    <col min="10" max="10" width="8.69140625"/>
    <col min="11" max="14" width="10.15234375" style="1" customWidth="1"/>
    <col min="15" max="18" width="7.61328125" style="4" customWidth="1"/>
    <col min="19" max="22" width="7.61328125" style="5" customWidth="1"/>
    <col min="23" max="23" width="9" customWidth="1"/>
    <col min="24" max="24" width="9.3828125" customWidth="1"/>
    <col min="25" max="25" width="10.23046875" customWidth="1"/>
    <col min="26" max="26" width="11.61328125" customWidth="1"/>
    <col min="27" max="28" width="7.07421875" customWidth="1"/>
    <col min="29" max="29" width="5.921875" style="1" customWidth="1"/>
    <col min="30" max="31" width="6" style="1" customWidth="1"/>
    <col min="32" max="33" width="11.921875" style="1" customWidth="1"/>
    <col min="39" max="39" width="12.07421875" customWidth="1"/>
    <col min="40" max="40" width="14.4609375" customWidth="1"/>
  </cols>
  <sheetData>
    <row r="1" spans="1:35" ht="24" customHeight="1" x14ac:dyDescent="0.3">
      <c r="A1" s="6"/>
      <c r="B1" s="6"/>
      <c r="C1" s="7">
        <v>30</v>
      </c>
      <c r="D1" s="7">
        <v>50</v>
      </c>
      <c r="E1" s="7">
        <v>20</v>
      </c>
      <c r="F1" s="7"/>
      <c r="G1" s="7"/>
      <c r="H1" s="7"/>
      <c r="I1" s="11"/>
      <c r="J1" s="6"/>
      <c r="K1" s="22" t="s">
        <v>0</v>
      </c>
      <c r="L1" s="22"/>
      <c r="M1" s="22"/>
      <c r="N1" s="23"/>
      <c r="O1" s="22" t="s">
        <v>1</v>
      </c>
      <c r="P1" s="22"/>
      <c r="Q1" s="22"/>
      <c r="R1" s="22"/>
      <c r="S1" s="23" t="s">
        <v>2</v>
      </c>
      <c r="T1" s="23"/>
      <c r="U1" s="23"/>
      <c r="V1" s="23"/>
      <c r="W1" s="20" t="s">
        <v>3</v>
      </c>
      <c r="X1" s="20"/>
      <c r="Y1" s="20"/>
      <c r="Z1" s="20" t="s">
        <v>4</v>
      </c>
      <c r="AA1" s="20"/>
      <c r="AB1" s="20"/>
      <c r="AC1" s="20" t="s">
        <v>5</v>
      </c>
      <c r="AD1" s="20"/>
      <c r="AE1" s="20"/>
      <c r="AF1" s="16" t="s">
        <v>6</v>
      </c>
      <c r="AG1" s="16"/>
      <c r="AH1" s="6"/>
    </row>
    <row r="2" spans="1:35" x14ac:dyDescent="0.3">
      <c r="A2" s="8" t="s">
        <v>7</v>
      </c>
      <c r="B2" s="8" t="s">
        <v>8</v>
      </c>
      <c r="C2" s="9" t="s">
        <v>9</v>
      </c>
      <c r="D2" s="9" t="s">
        <v>10</v>
      </c>
      <c r="E2" s="9" t="s">
        <v>11</v>
      </c>
      <c r="F2" s="10" t="s">
        <v>12</v>
      </c>
      <c r="G2" s="9" t="s">
        <v>13</v>
      </c>
      <c r="H2" s="10" t="s">
        <v>14</v>
      </c>
      <c r="I2" s="12" t="s">
        <v>15</v>
      </c>
      <c r="J2" s="8" t="s">
        <v>16</v>
      </c>
      <c r="K2" s="10" t="s">
        <v>17</v>
      </c>
      <c r="L2" s="10" t="s">
        <v>18</v>
      </c>
      <c r="M2" s="10" t="s">
        <v>19</v>
      </c>
      <c r="N2" s="10" t="s">
        <v>12</v>
      </c>
      <c r="O2" s="13" t="s">
        <v>17</v>
      </c>
      <c r="P2" s="13" t="s">
        <v>18</v>
      </c>
      <c r="Q2" s="13" t="s">
        <v>19</v>
      </c>
      <c r="R2" s="12" t="s">
        <v>13</v>
      </c>
      <c r="S2" s="13" t="s">
        <v>17</v>
      </c>
      <c r="T2" s="13" t="s">
        <v>18</v>
      </c>
      <c r="U2" s="13" t="s">
        <v>19</v>
      </c>
      <c r="V2" s="13" t="s">
        <v>14</v>
      </c>
      <c r="W2" s="8" t="s">
        <v>17</v>
      </c>
      <c r="X2" s="8" t="s">
        <v>18</v>
      </c>
      <c r="Y2" s="8" t="s">
        <v>19</v>
      </c>
      <c r="Z2" s="8" t="s">
        <v>17</v>
      </c>
      <c r="AA2" s="8" t="s">
        <v>18</v>
      </c>
      <c r="AB2" s="8" t="s">
        <v>19</v>
      </c>
      <c r="AC2" s="10" t="s">
        <v>17</v>
      </c>
      <c r="AD2" s="10" t="s">
        <v>18</v>
      </c>
      <c r="AE2" s="10" t="s">
        <v>19</v>
      </c>
      <c r="AF2" s="8" t="s">
        <v>20</v>
      </c>
      <c r="AG2" s="8" t="s">
        <v>21</v>
      </c>
      <c r="AH2" s="8">
        <v>0</v>
      </c>
    </row>
    <row r="3" spans="1:35" x14ac:dyDescent="0.3">
      <c r="A3" s="25" t="s">
        <v>35</v>
      </c>
      <c r="B3" s="26" t="s">
        <v>36</v>
      </c>
      <c r="C3" s="27">
        <v>27</v>
      </c>
      <c r="D3" s="27">
        <v>46</v>
      </c>
      <c r="E3" s="27">
        <v>18</v>
      </c>
      <c r="F3" s="28">
        <v>94</v>
      </c>
      <c r="G3" s="28">
        <v>90.8</v>
      </c>
      <c r="H3" s="28">
        <v>92</v>
      </c>
      <c r="I3" s="27">
        <v>1</v>
      </c>
      <c r="J3" s="29" t="s">
        <v>37</v>
      </c>
      <c r="K3" s="28">
        <v>94</v>
      </c>
      <c r="L3" s="30">
        <f t="shared" ref="L3:N9" si="0">K3</f>
        <v>94</v>
      </c>
      <c r="M3" s="30">
        <f t="shared" si="0"/>
        <v>94</v>
      </c>
      <c r="N3" s="30">
        <f t="shared" si="0"/>
        <v>94</v>
      </c>
      <c r="O3" s="30">
        <f>(C3/30)*N3</f>
        <v>84.600000000000009</v>
      </c>
      <c r="P3" s="30">
        <f t="shared" ref="P3:P14" si="1">(D3/50)*100</f>
        <v>92</v>
      </c>
      <c r="Q3" s="30">
        <f t="shared" ref="Q3:Q8" si="2">(E3/20)*100</f>
        <v>90</v>
      </c>
      <c r="R3" s="27">
        <v>91</v>
      </c>
      <c r="S3" s="30">
        <f>K3*0.3+O3*0.7</f>
        <v>87.42</v>
      </c>
      <c r="T3" s="30">
        <f t="shared" ref="T3:T14" si="3">L3*0.3+P3*0.7</f>
        <v>92.6</v>
      </c>
      <c r="U3" s="30">
        <f t="shared" ref="U3:U14" si="4">M3*0.3+Q3*0.7</f>
        <v>91.199999999999989</v>
      </c>
      <c r="V3" s="30">
        <f t="shared" ref="V3:V14" si="5">H3</f>
        <v>92</v>
      </c>
      <c r="W3" s="31">
        <f t="shared" ref="W3:W14" si="6">S3/100</f>
        <v>0.87419999999999998</v>
      </c>
      <c r="X3" s="31">
        <f>T3/100</f>
        <v>0.92599999999999993</v>
      </c>
      <c r="Y3" s="31">
        <f t="shared" ref="Y3:Y14" si="7">U3/100</f>
        <v>0.91199999999999992</v>
      </c>
      <c r="Z3" s="32">
        <v>0.92</v>
      </c>
      <c r="AA3" s="32">
        <v>0.94</v>
      </c>
      <c r="AB3" s="32">
        <v>0.92</v>
      </c>
      <c r="AC3" s="27">
        <v>0.6</v>
      </c>
      <c r="AD3" s="27">
        <v>0.6</v>
      </c>
      <c r="AE3" s="27">
        <v>0.6</v>
      </c>
      <c r="AF3" s="27">
        <f t="shared" ref="AF3:AF14" si="8">V3/100</f>
        <v>0.92</v>
      </c>
      <c r="AG3" s="27">
        <v>0.89900000000000002</v>
      </c>
      <c r="AH3" s="33"/>
      <c r="AI3" s="34"/>
    </row>
    <row r="4" spans="1:35" x14ac:dyDescent="0.3">
      <c r="A4" s="25" t="s">
        <v>35</v>
      </c>
      <c r="B4" s="26" t="s">
        <v>38</v>
      </c>
      <c r="C4" s="27">
        <v>25</v>
      </c>
      <c r="D4" s="27">
        <v>44</v>
      </c>
      <c r="E4" s="27">
        <v>16</v>
      </c>
      <c r="F4" s="28">
        <v>92</v>
      </c>
      <c r="G4" s="28">
        <v>87</v>
      </c>
      <c r="H4" s="28">
        <v>89</v>
      </c>
      <c r="I4" s="27">
        <v>2</v>
      </c>
      <c r="J4" s="29" t="s">
        <v>39</v>
      </c>
      <c r="K4" s="28">
        <v>92</v>
      </c>
      <c r="L4" s="30">
        <f t="shared" si="0"/>
        <v>92</v>
      </c>
      <c r="M4" s="30">
        <f t="shared" si="0"/>
        <v>92</v>
      </c>
      <c r="N4" s="30">
        <f t="shared" si="0"/>
        <v>92</v>
      </c>
      <c r="O4" s="30">
        <f>(C4/30*Q4)</f>
        <v>66.666666666666671</v>
      </c>
      <c r="P4" s="30">
        <f t="shared" si="1"/>
        <v>88</v>
      </c>
      <c r="Q4" s="30">
        <f t="shared" si="2"/>
        <v>80</v>
      </c>
      <c r="R4" s="27">
        <v>87</v>
      </c>
      <c r="S4" s="30">
        <f t="shared" ref="S4:S14" si="9">K4*0.3+O4*0.7</f>
        <v>74.266666666666666</v>
      </c>
      <c r="T4" s="30">
        <f t="shared" si="3"/>
        <v>89.199999999999989</v>
      </c>
      <c r="U4" s="30">
        <f t="shared" si="4"/>
        <v>83.6</v>
      </c>
      <c r="V4" s="30">
        <f t="shared" si="5"/>
        <v>89</v>
      </c>
      <c r="W4" s="31">
        <f t="shared" si="6"/>
        <v>0.7426666666666667</v>
      </c>
      <c r="X4" s="31">
        <f>T4/100</f>
        <v>0.8919999999999999</v>
      </c>
      <c r="Y4" s="31">
        <f t="shared" si="7"/>
        <v>0.83599999999999997</v>
      </c>
      <c r="Z4" s="32">
        <v>0.92</v>
      </c>
      <c r="AA4" s="32">
        <v>0.94</v>
      </c>
      <c r="AB4" s="32">
        <v>0.92</v>
      </c>
      <c r="AC4" s="27">
        <v>0.6</v>
      </c>
      <c r="AD4" s="27">
        <v>0.6</v>
      </c>
      <c r="AE4" s="27">
        <v>0.6</v>
      </c>
      <c r="AF4" s="27">
        <f t="shared" si="8"/>
        <v>0.89</v>
      </c>
      <c r="AG4" s="27">
        <v>0.89900000000000002</v>
      </c>
      <c r="AH4" s="33"/>
      <c r="AI4" s="34"/>
    </row>
    <row r="5" spans="1:35" x14ac:dyDescent="0.3">
      <c r="A5" s="25" t="s">
        <v>35</v>
      </c>
      <c r="B5" s="28">
        <v>202121241008</v>
      </c>
      <c r="C5" s="27">
        <v>26</v>
      </c>
      <c r="D5" s="27">
        <v>45</v>
      </c>
      <c r="E5" s="27">
        <v>16</v>
      </c>
      <c r="F5" s="28">
        <v>90</v>
      </c>
      <c r="G5" s="28">
        <v>87.4</v>
      </c>
      <c r="H5" s="28">
        <v>88</v>
      </c>
      <c r="I5" s="27">
        <v>3</v>
      </c>
      <c r="J5" s="35" t="s">
        <v>40</v>
      </c>
      <c r="K5" s="28">
        <v>90</v>
      </c>
      <c r="L5" s="30">
        <f t="shared" si="0"/>
        <v>90</v>
      </c>
      <c r="M5" s="30">
        <f t="shared" si="0"/>
        <v>90</v>
      </c>
      <c r="N5" s="30">
        <f t="shared" si="0"/>
        <v>90</v>
      </c>
      <c r="O5" s="30">
        <f t="shared" ref="O5:O14" si="10">(C5/30)*100</f>
        <v>86.666666666666671</v>
      </c>
      <c r="P5" s="30">
        <f t="shared" si="1"/>
        <v>90</v>
      </c>
      <c r="Q5" s="30">
        <f t="shared" si="2"/>
        <v>80</v>
      </c>
      <c r="R5" s="27">
        <v>88</v>
      </c>
      <c r="S5" s="30">
        <f t="shared" si="9"/>
        <v>87.666666666666657</v>
      </c>
      <c r="T5" s="30">
        <f t="shared" si="3"/>
        <v>90</v>
      </c>
      <c r="U5" s="30">
        <f t="shared" si="4"/>
        <v>83</v>
      </c>
      <c r="V5" s="30">
        <f t="shared" si="5"/>
        <v>88</v>
      </c>
      <c r="W5" s="31">
        <f t="shared" si="6"/>
        <v>0.87666666666666659</v>
      </c>
      <c r="X5" s="31">
        <f t="shared" ref="X5:X14" si="11">T5/100</f>
        <v>0.9</v>
      </c>
      <c r="Y5" s="31">
        <f t="shared" si="7"/>
        <v>0.83</v>
      </c>
      <c r="Z5" s="32">
        <v>0.92</v>
      </c>
      <c r="AA5" s="32">
        <v>0.94</v>
      </c>
      <c r="AB5" s="32">
        <v>0.92</v>
      </c>
      <c r="AC5" s="27">
        <v>0.6</v>
      </c>
      <c r="AD5" s="27">
        <v>0.6</v>
      </c>
      <c r="AE5" s="27">
        <v>0.6</v>
      </c>
      <c r="AF5" s="27">
        <f t="shared" si="8"/>
        <v>0.88</v>
      </c>
      <c r="AG5" s="27">
        <v>0.89900000000000002</v>
      </c>
      <c r="AH5" s="33"/>
      <c r="AI5" s="34"/>
    </row>
    <row r="6" spans="1:35" x14ac:dyDescent="0.3">
      <c r="A6" s="25" t="s">
        <v>35</v>
      </c>
      <c r="B6" s="28">
        <v>202121241010</v>
      </c>
      <c r="C6" s="27">
        <v>25</v>
      </c>
      <c r="D6" s="27">
        <v>46</v>
      </c>
      <c r="E6" s="27">
        <v>17</v>
      </c>
      <c r="F6" s="28">
        <v>98</v>
      </c>
      <c r="G6" s="28">
        <v>88.2</v>
      </c>
      <c r="H6" s="28">
        <v>91</v>
      </c>
      <c r="I6" s="27">
        <v>4</v>
      </c>
      <c r="J6" s="35" t="s">
        <v>41</v>
      </c>
      <c r="K6" s="28">
        <v>98</v>
      </c>
      <c r="L6" s="30">
        <f t="shared" si="0"/>
        <v>98</v>
      </c>
      <c r="M6" s="30">
        <f t="shared" si="0"/>
        <v>98</v>
      </c>
      <c r="N6" s="30">
        <f t="shared" si="0"/>
        <v>98</v>
      </c>
      <c r="O6" s="30">
        <f t="shared" si="10"/>
        <v>83.333333333333343</v>
      </c>
      <c r="P6" s="30">
        <f t="shared" si="1"/>
        <v>92</v>
      </c>
      <c r="Q6" s="30">
        <f t="shared" si="2"/>
        <v>85</v>
      </c>
      <c r="R6" s="27">
        <v>88</v>
      </c>
      <c r="S6" s="30">
        <f t="shared" si="9"/>
        <v>87.733333333333334</v>
      </c>
      <c r="T6" s="30">
        <f t="shared" si="3"/>
        <v>93.799999999999983</v>
      </c>
      <c r="U6" s="30">
        <f t="shared" si="4"/>
        <v>88.899999999999991</v>
      </c>
      <c r="V6" s="30">
        <f t="shared" si="5"/>
        <v>91</v>
      </c>
      <c r="W6" s="31">
        <f t="shared" si="6"/>
        <v>0.8773333333333333</v>
      </c>
      <c r="X6" s="31">
        <f t="shared" si="11"/>
        <v>0.93799999999999983</v>
      </c>
      <c r="Y6" s="31">
        <f t="shared" si="7"/>
        <v>0.8889999999999999</v>
      </c>
      <c r="Z6" s="32">
        <v>0.92</v>
      </c>
      <c r="AA6" s="32">
        <v>0.94</v>
      </c>
      <c r="AB6" s="32">
        <v>0.92</v>
      </c>
      <c r="AC6" s="27">
        <v>0.6</v>
      </c>
      <c r="AD6" s="27">
        <v>0.6</v>
      </c>
      <c r="AE6" s="27">
        <v>0.6</v>
      </c>
      <c r="AF6" s="27">
        <f t="shared" si="8"/>
        <v>0.91</v>
      </c>
      <c r="AG6" s="27">
        <v>0.89900000000000002</v>
      </c>
      <c r="AH6" s="33"/>
      <c r="AI6" s="34"/>
    </row>
    <row r="7" spans="1:35" x14ac:dyDescent="0.3">
      <c r="A7" s="25" t="s">
        <v>35</v>
      </c>
      <c r="B7" s="28">
        <v>202121241019</v>
      </c>
      <c r="C7" s="27">
        <v>24</v>
      </c>
      <c r="D7" s="27">
        <v>47</v>
      </c>
      <c r="E7" s="27">
        <v>18</v>
      </c>
      <c r="F7" s="28">
        <v>94</v>
      </c>
      <c r="G7" s="28">
        <v>88.9</v>
      </c>
      <c r="H7" s="28">
        <v>90</v>
      </c>
      <c r="I7" s="27">
        <v>5</v>
      </c>
      <c r="J7" s="35" t="s">
        <v>42</v>
      </c>
      <c r="K7" s="28">
        <v>94</v>
      </c>
      <c r="L7" s="30">
        <f t="shared" si="0"/>
        <v>94</v>
      </c>
      <c r="M7" s="30">
        <f t="shared" si="0"/>
        <v>94</v>
      </c>
      <c r="N7" s="30">
        <f t="shared" si="0"/>
        <v>94</v>
      </c>
      <c r="O7" s="30">
        <f t="shared" si="10"/>
        <v>80</v>
      </c>
      <c r="P7" s="30">
        <f t="shared" si="1"/>
        <v>94</v>
      </c>
      <c r="Q7" s="30">
        <f t="shared" si="2"/>
        <v>90</v>
      </c>
      <c r="R7" s="27">
        <v>89</v>
      </c>
      <c r="S7" s="30">
        <f t="shared" si="9"/>
        <v>84.2</v>
      </c>
      <c r="T7" s="30">
        <f t="shared" si="3"/>
        <v>94</v>
      </c>
      <c r="U7" s="30">
        <f t="shared" si="4"/>
        <v>91.199999999999989</v>
      </c>
      <c r="V7" s="30">
        <f t="shared" si="5"/>
        <v>90</v>
      </c>
      <c r="W7" s="31">
        <f t="shared" si="6"/>
        <v>0.84200000000000008</v>
      </c>
      <c r="X7" s="31">
        <f t="shared" si="11"/>
        <v>0.94</v>
      </c>
      <c r="Y7" s="31">
        <f t="shared" si="7"/>
        <v>0.91199999999999992</v>
      </c>
      <c r="Z7" s="32">
        <v>0.92</v>
      </c>
      <c r="AA7" s="32">
        <v>0.94</v>
      </c>
      <c r="AB7" s="32">
        <v>0.92</v>
      </c>
      <c r="AC7" s="27">
        <v>0.6</v>
      </c>
      <c r="AD7" s="27">
        <v>0.6</v>
      </c>
      <c r="AE7" s="27">
        <v>0.6</v>
      </c>
      <c r="AF7" s="27">
        <f t="shared" si="8"/>
        <v>0.9</v>
      </c>
      <c r="AG7" s="27">
        <v>0.89900000000000002</v>
      </c>
      <c r="AH7" s="33"/>
      <c r="AI7" s="34"/>
    </row>
    <row r="8" spans="1:35" x14ac:dyDescent="0.3">
      <c r="A8" s="25" t="s">
        <v>35</v>
      </c>
      <c r="B8" s="28">
        <v>202121241020</v>
      </c>
      <c r="C8" s="27">
        <v>28</v>
      </c>
      <c r="D8" s="27">
        <v>47</v>
      </c>
      <c r="E8" s="27">
        <v>17</v>
      </c>
      <c r="F8" s="28">
        <v>95</v>
      </c>
      <c r="G8" s="28">
        <v>92</v>
      </c>
      <c r="H8" s="28">
        <v>93</v>
      </c>
      <c r="I8" s="27">
        <v>6</v>
      </c>
      <c r="J8" s="35" t="s">
        <v>43</v>
      </c>
      <c r="K8" s="28">
        <v>95</v>
      </c>
      <c r="L8" s="30">
        <f t="shared" si="0"/>
        <v>95</v>
      </c>
      <c r="M8" s="30">
        <f t="shared" si="0"/>
        <v>95</v>
      </c>
      <c r="N8" s="30">
        <f t="shared" si="0"/>
        <v>95</v>
      </c>
      <c r="O8" s="30">
        <f t="shared" si="10"/>
        <v>93.333333333333329</v>
      </c>
      <c r="P8" s="30">
        <f t="shared" si="1"/>
        <v>94</v>
      </c>
      <c r="Q8" s="30">
        <f t="shared" si="2"/>
        <v>85</v>
      </c>
      <c r="R8" s="27">
        <v>92</v>
      </c>
      <c r="S8" s="30">
        <f t="shared" si="9"/>
        <v>93.833333333333329</v>
      </c>
      <c r="T8" s="30">
        <f t="shared" si="3"/>
        <v>94.3</v>
      </c>
      <c r="U8" s="30">
        <f t="shared" si="4"/>
        <v>88</v>
      </c>
      <c r="V8" s="30">
        <f t="shared" si="5"/>
        <v>93</v>
      </c>
      <c r="W8" s="31">
        <f t="shared" si="6"/>
        <v>0.93833333333333324</v>
      </c>
      <c r="X8" s="31">
        <f t="shared" si="11"/>
        <v>0.94299999999999995</v>
      </c>
      <c r="Y8" s="31">
        <f t="shared" si="7"/>
        <v>0.88</v>
      </c>
      <c r="Z8" s="32">
        <v>0.92</v>
      </c>
      <c r="AA8" s="32">
        <v>0.94</v>
      </c>
      <c r="AB8" s="32">
        <v>0.92</v>
      </c>
      <c r="AC8" s="27">
        <v>0.6</v>
      </c>
      <c r="AD8" s="27">
        <v>0.6</v>
      </c>
      <c r="AE8" s="27">
        <v>0.6</v>
      </c>
      <c r="AF8" s="27">
        <f t="shared" si="8"/>
        <v>0.93</v>
      </c>
      <c r="AG8" s="27">
        <v>0.89900000000000002</v>
      </c>
      <c r="AH8" s="33"/>
      <c r="AI8" s="34"/>
    </row>
    <row r="9" spans="1:35" x14ac:dyDescent="0.3">
      <c r="A9" s="25" t="s">
        <v>35</v>
      </c>
      <c r="B9" s="28">
        <v>202121241022</v>
      </c>
      <c r="C9" s="27">
        <v>26</v>
      </c>
      <c r="D9" s="27">
        <v>48</v>
      </c>
      <c r="E9" s="27">
        <v>17</v>
      </c>
      <c r="F9" s="28">
        <v>94.5</v>
      </c>
      <c r="G9" s="28">
        <v>90.5</v>
      </c>
      <c r="H9" s="28">
        <v>92</v>
      </c>
      <c r="I9" s="27">
        <v>7</v>
      </c>
      <c r="J9" s="35" t="s">
        <v>44</v>
      </c>
      <c r="K9" s="28">
        <v>95</v>
      </c>
      <c r="L9" s="30">
        <f t="shared" si="0"/>
        <v>95</v>
      </c>
      <c r="M9" s="30">
        <f t="shared" si="0"/>
        <v>95</v>
      </c>
      <c r="N9" s="30">
        <f t="shared" si="0"/>
        <v>95</v>
      </c>
      <c r="O9" s="30">
        <f t="shared" si="10"/>
        <v>86.666666666666671</v>
      </c>
      <c r="P9" s="30">
        <f t="shared" si="1"/>
        <v>96</v>
      </c>
      <c r="Q9" s="30">
        <v>92</v>
      </c>
      <c r="R9" s="27">
        <v>86</v>
      </c>
      <c r="S9" s="30">
        <f t="shared" si="9"/>
        <v>89.166666666666657</v>
      </c>
      <c r="T9" s="30">
        <f t="shared" si="3"/>
        <v>95.699999999999989</v>
      </c>
      <c r="U9" s="30">
        <f t="shared" si="4"/>
        <v>92.899999999999991</v>
      </c>
      <c r="V9" s="30">
        <f t="shared" si="5"/>
        <v>92</v>
      </c>
      <c r="W9" s="31">
        <f t="shared" si="6"/>
        <v>0.89166666666666661</v>
      </c>
      <c r="X9" s="31">
        <f t="shared" si="11"/>
        <v>0.95699999999999985</v>
      </c>
      <c r="Y9" s="31">
        <f t="shared" si="7"/>
        <v>0.92899999999999994</v>
      </c>
      <c r="Z9" s="32">
        <v>0.92</v>
      </c>
      <c r="AA9" s="32">
        <v>0.94</v>
      </c>
      <c r="AB9" s="32">
        <v>0.92</v>
      </c>
      <c r="AC9" s="27">
        <v>0.6</v>
      </c>
      <c r="AD9" s="27">
        <v>0.6</v>
      </c>
      <c r="AE9" s="27">
        <v>0.6</v>
      </c>
      <c r="AF9" s="27">
        <f t="shared" si="8"/>
        <v>0.92</v>
      </c>
      <c r="AG9" s="27">
        <v>0.89900000000000002</v>
      </c>
      <c r="AH9" s="27"/>
      <c r="AI9" s="34"/>
    </row>
    <row r="10" spans="1:35" x14ac:dyDescent="0.3">
      <c r="A10" s="25" t="s">
        <v>35</v>
      </c>
      <c r="B10" s="28">
        <v>202121241023</v>
      </c>
      <c r="C10" s="27">
        <v>26</v>
      </c>
      <c r="D10" s="27">
        <v>46</v>
      </c>
      <c r="E10" s="27">
        <v>17</v>
      </c>
      <c r="F10" s="28">
        <v>94</v>
      </c>
      <c r="G10" s="28">
        <v>90</v>
      </c>
      <c r="H10" s="28">
        <v>91</v>
      </c>
      <c r="I10" s="27">
        <v>8</v>
      </c>
      <c r="J10" s="35" t="s">
        <v>45</v>
      </c>
      <c r="K10" s="28">
        <v>94</v>
      </c>
      <c r="L10" s="30">
        <f t="shared" ref="L10:N10" si="12">K10</f>
        <v>94</v>
      </c>
      <c r="M10" s="30">
        <f t="shared" si="12"/>
        <v>94</v>
      </c>
      <c r="N10" s="30">
        <f t="shared" si="12"/>
        <v>94</v>
      </c>
      <c r="O10" s="30">
        <f t="shared" si="10"/>
        <v>86.666666666666671</v>
      </c>
      <c r="P10" s="30">
        <f t="shared" si="1"/>
        <v>92</v>
      </c>
      <c r="Q10" s="30">
        <f t="shared" ref="Q10:Q14" si="13">(E10/20)*100</f>
        <v>85</v>
      </c>
      <c r="R10" s="27">
        <v>90</v>
      </c>
      <c r="S10" s="30">
        <f t="shared" si="9"/>
        <v>88.86666666666666</v>
      </c>
      <c r="T10" s="30">
        <f t="shared" si="3"/>
        <v>92.6</v>
      </c>
      <c r="U10" s="30">
        <f t="shared" si="4"/>
        <v>87.699999999999989</v>
      </c>
      <c r="V10" s="30">
        <f t="shared" si="5"/>
        <v>91</v>
      </c>
      <c r="W10" s="31">
        <f t="shared" si="6"/>
        <v>0.8886666666666666</v>
      </c>
      <c r="X10" s="31">
        <f t="shared" si="11"/>
        <v>0.92599999999999993</v>
      </c>
      <c r="Y10" s="31">
        <f t="shared" si="7"/>
        <v>0.87699999999999989</v>
      </c>
      <c r="Z10" s="32">
        <v>0.92</v>
      </c>
      <c r="AA10" s="32">
        <v>0.94</v>
      </c>
      <c r="AB10" s="32">
        <v>0.92</v>
      </c>
      <c r="AC10" s="27">
        <v>0.6</v>
      </c>
      <c r="AD10" s="27">
        <v>0.6</v>
      </c>
      <c r="AE10" s="27">
        <v>0.6</v>
      </c>
      <c r="AF10" s="27">
        <f t="shared" si="8"/>
        <v>0.91</v>
      </c>
      <c r="AG10" s="27">
        <v>0.89900000000000002</v>
      </c>
      <c r="AH10" s="27"/>
      <c r="AI10" s="34"/>
    </row>
    <row r="11" spans="1:35" x14ac:dyDescent="0.3">
      <c r="A11" s="25" t="s">
        <v>35</v>
      </c>
      <c r="B11" s="28">
        <v>202121241024</v>
      </c>
      <c r="C11" s="27">
        <v>24</v>
      </c>
      <c r="D11" s="27">
        <v>44</v>
      </c>
      <c r="E11" s="27">
        <v>17</v>
      </c>
      <c r="F11" s="28">
        <v>90</v>
      </c>
      <c r="G11" s="28">
        <v>85</v>
      </c>
      <c r="H11" s="28">
        <v>87</v>
      </c>
      <c r="I11" s="27">
        <v>9</v>
      </c>
      <c r="J11" s="35" t="s">
        <v>46</v>
      </c>
      <c r="K11" s="28">
        <v>90</v>
      </c>
      <c r="L11" s="30">
        <f t="shared" ref="L11:N11" si="14">K11</f>
        <v>90</v>
      </c>
      <c r="M11" s="30">
        <f t="shared" si="14"/>
        <v>90</v>
      </c>
      <c r="N11" s="30">
        <f t="shared" si="14"/>
        <v>90</v>
      </c>
      <c r="O11" s="30">
        <f t="shared" si="10"/>
        <v>80</v>
      </c>
      <c r="P11" s="30">
        <f t="shared" si="1"/>
        <v>88</v>
      </c>
      <c r="Q11" s="30">
        <f t="shared" si="13"/>
        <v>85</v>
      </c>
      <c r="R11" s="27">
        <v>85</v>
      </c>
      <c r="S11" s="30">
        <f t="shared" si="9"/>
        <v>83</v>
      </c>
      <c r="T11" s="30">
        <f t="shared" si="3"/>
        <v>88.6</v>
      </c>
      <c r="U11" s="30">
        <f t="shared" si="4"/>
        <v>86.5</v>
      </c>
      <c r="V11" s="30">
        <f t="shared" si="5"/>
        <v>87</v>
      </c>
      <c r="W11" s="31">
        <f t="shared" si="6"/>
        <v>0.83</v>
      </c>
      <c r="X11" s="31">
        <f t="shared" si="11"/>
        <v>0.8859999999999999</v>
      </c>
      <c r="Y11" s="31">
        <f t="shared" si="7"/>
        <v>0.86499999999999999</v>
      </c>
      <c r="Z11" s="32">
        <v>0.92</v>
      </c>
      <c r="AA11" s="32">
        <v>0.94</v>
      </c>
      <c r="AB11" s="32">
        <v>0.92</v>
      </c>
      <c r="AC11" s="27">
        <v>0.6</v>
      </c>
      <c r="AD11" s="27">
        <v>0.6</v>
      </c>
      <c r="AE11" s="27">
        <v>0.6</v>
      </c>
      <c r="AF11" s="27">
        <f t="shared" si="8"/>
        <v>0.87</v>
      </c>
      <c r="AG11" s="27">
        <v>0.89900000000000002</v>
      </c>
      <c r="AH11" s="27"/>
      <c r="AI11" s="34"/>
    </row>
    <row r="12" spans="1:35" x14ac:dyDescent="0.3">
      <c r="A12" s="25" t="s">
        <v>35</v>
      </c>
      <c r="B12" s="28">
        <v>202121241031</v>
      </c>
      <c r="C12" s="27">
        <v>26</v>
      </c>
      <c r="D12" s="27">
        <v>45</v>
      </c>
      <c r="E12" s="27">
        <v>16</v>
      </c>
      <c r="F12" s="28">
        <v>85</v>
      </c>
      <c r="G12" s="28">
        <v>86.9</v>
      </c>
      <c r="H12" s="28">
        <v>86</v>
      </c>
      <c r="I12" s="27">
        <v>10</v>
      </c>
      <c r="J12" s="35" t="s">
        <v>47</v>
      </c>
      <c r="K12" s="28">
        <v>85</v>
      </c>
      <c r="L12" s="30">
        <f t="shared" ref="L12:N12" si="15">K12</f>
        <v>85</v>
      </c>
      <c r="M12" s="30">
        <f t="shared" si="15"/>
        <v>85</v>
      </c>
      <c r="N12" s="30">
        <f t="shared" si="15"/>
        <v>85</v>
      </c>
      <c r="O12" s="30">
        <f t="shared" si="10"/>
        <v>86.666666666666671</v>
      </c>
      <c r="P12" s="30">
        <f t="shared" si="1"/>
        <v>90</v>
      </c>
      <c r="Q12" s="30">
        <f t="shared" si="13"/>
        <v>80</v>
      </c>
      <c r="R12" s="27">
        <v>87</v>
      </c>
      <c r="S12" s="30">
        <f t="shared" si="9"/>
        <v>86.166666666666657</v>
      </c>
      <c r="T12" s="30">
        <f t="shared" si="3"/>
        <v>88.5</v>
      </c>
      <c r="U12" s="30">
        <f t="shared" si="4"/>
        <v>81.5</v>
      </c>
      <c r="V12" s="30">
        <f t="shared" si="5"/>
        <v>86</v>
      </c>
      <c r="W12" s="31">
        <f t="shared" si="6"/>
        <v>0.86166666666666658</v>
      </c>
      <c r="X12" s="31">
        <f t="shared" si="11"/>
        <v>0.88500000000000001</v>
      </c>
      <c r="Y12" s="31">
        <f t="shared" si="7"/>
        <v>0.81499999999999995</v>
      </c>
      <c r="Z12" s="32">
        <v>0.92</v>
      </c>
      <c r="AA12" s="32">
        <v>0.94</v>
      </c>
      <c r="AB12" s="32">
        <v>0.92</v>
      </c>
      <c r="AC12" s="27">
        <v>0.6</v>
      </c>
      <c r="AD12" s="27">
        <v>0.6</v>
      </c>
      <c r="AE12" s="27">
        <v>0.6</v>
      </c>
      <c r="AF12" s="27">
        <f t="shared" si="8"/>
        <v>0.86</v>
      </c>
      <c r="AG12" s="27">
        <v>0.89900000000000002</v>
      </c>
      <c r="AH12" s="27">
        <v>10</v>
      </c>
      <c r="AI12" s="34"/>
    </row>
    <row r="13" spans="1:35" x14ac:dyDescent="0.3">
      <c r="A13" s="25" t="s">
        <v>35</v>
      </c>
      <c r="B13" s="28">
        <v>202121241036</v>
      </c>
      <c r="C13" s="27">
        <v>26</v>
      </c>
      <c r="D13" s="27">
        <v>47</v>
      </c>
      <c r="E13" s="27">
        <v>18</v>
      </c>
      <c r="F13" s="28">
        <v>98</v>
      </c>
      <c r="G13" s="28">
        <v>91.2</v>
      </c>
      <c r="H13" s="28">
        <v>93</v>
      </c>
      <c r="I13" s="27">
        <v>11</v>
      </c>
      <c r="J13" s="35" t="s">
        <v>48</v>
      </c>
      <c r="K13" s="28">
        <v>98</v>
      </c>
      <c r="L13" s="30">
        <f t="shared" ref="L13:N13" si="16">K13</f>
        <v>98</v>
      </c>
      <c r="M13" s="30">
        <f t="shared" si="16"/>
        <v>98</v>
      </c>
      <c r="N13" s="30">
        <f t="shared" si="16"/>
        <v>98</v>
      </c>
      <c r="O13" s="30">
        <f t="shared" si="10"/>
        <v>86.666666666666671</v>
      </c>
      <c r="P13" s="30">
        <f t="shared" si="1"/>
        <v>94</v>
      </c>
      <c r="Q13" s="30">
        <f t="shared" si="13"/>
        <v>90</v>
      </c>
      <c r="R13" s="27">
        <v>91</v>
      </c>
      <c r="S13" s="30">
        <f t="shared" si="9"/>
        <v>90.066666666666663</v>
      </c>
      <c r="T13" s="30">
        <f t="shared" si="3"/>
        <v>95.199999999999989</v>
      </c>
      <c r="U13" s="30">
        <f t="shared" si="4"/>
        <v>92.399999999999991</v>
      </c>
      <c r="V13" s="30">
        <f t="shared" si="5"/>
        <v>93</v>
      </c>
      <c r="W13" s="31">
        <f t="shared" si="6"/>
        <v>0.90066666666666662</v>
      </c>
      <c r="X13" s="31">
        <f t="shared" si="11"/>
        <v>0.95199999999999985</v>
      </c>
      <c r="Y13" s="31">
        <f t="shared" si="7"/>
        <v>0.92399999999999993</v>
      </c>
      <c r="Z13" s="32">
        <v>0.92</v>
      </c>
      <c r="AA13" s="32">
        <v>0.94</v>
      </c>
      <c r="AB13" s="32">
        <v>0.92</v>
      </c>
      <c r="AC13" s="27">
        <v>0.6</v>
      </c>
      <c r="AD13" s="27">
        <v>0.6</v>
      </c>
      <c r="AE13" s="27">
        <v>0.6</v>
      </c>
      <c r="AF13" s="27">
        <f t="shared" si="8"/>
        <v>0.93</v>
      </c>
      <c r="AG13" s="27">
        <v>0.89900000000000002</v>
      </c>
      <c r="AH13" s="27"/>
      <c r="AI13" s="34"/>
    </row>
    <row r="14" spans="1:35" x14ac:dyDescent="0.3">
      <c r="A14" s="25" t="s">
        <v>35</v>
      </c>
      <c r="B14" s="28">
        <v>202122241041</v>
      </c>
      <c r="C14" s="27">
        <v>26</v>
      </c>
      <c r="D14" s="27">
        <v>45</v>
      </c>
      <c r="E14" s="27">
        <v>15</v>
      </c>
      <c r="F14" s="28">
        <v>94</v>
      </c>
      <c r="G14" s="28">
        <v>84.4</v>
      </c>
      <c r="H14" s="28">
        <v>87</v>
      </c>
      <c r="I14" s="27">
        <v>12</v>
      </c>
      <c r="J14" s="35" t="s">
        <v>49</v>
      </c>
      <c r="K14" s="28">
        <v>94</v>
      </c>
      <c r="L14" s="30">
        <f t="shared" ref="L14:N14" si="17">K14</f>
        <v>94</v>
      </c>
      <c r="M14" s="30">
        <f t="shared" si="17"/>
        <v>94</v>
      </c>
      <c r="N14" s="30">
        <f t="shared" si="17"/>
        <v>94</v>
      </c>
      <c r="O14" s="30">
        <f t="shared" si="10"/>
        <v>86.666666666666671</v>
      </c>
      <c r="P14" s="30">
        <f t="shared" si="1"/>
        <v>90</v>
      </c>
      <c r="Q14" s="30">
        <f t="shared" si="13"/>
        <v>75</v>
      </c>
      <c r="R14" s="27">
        <v>84</v>
      </c>
      <c r="S14" s="30">
        <f t="shared" si="9"/>
        <v>88.86666666666666</v>
      </c>
      <c r="T14" s="30">
        <f t="shared" si="3"/>
        <v>91.199999999999989</v>
      </c>
      <c r="U14" s="30">
        <f t="shared" si="4"/>
        <v>80.7</v>
      </c>
      <c r="V14" s="30">
        <f t="shared" si="5"/>
        <v>87</v>
      </c>
      <c r="W14" s="31">
        <f t="shared" si="6"/>
        <v>0.8886666666666666</v>
      </c>
      <c r="X14" s="31">
        <f t="shared" si="11"/>
        <v>0.91199999999999992</v>
      </c>
      <c r="Y14" s="31">
        <f t="shared" si="7"/>
        <v>0.80700000000000005</v>
      </c>
      <c r="Z14" s="32">
        <v>0.92</v>
      </c>
      <c r="AA14" s="32">
        <v>0.94</v>
      </c>
      <c r="AB14" s="32">
        <v>0.92</v>
      </c>
      <c r="AC14" s="27">
        <v>0.6</v>
      </c>
      <c r="AD14" s="27">
        <v>0.6</v>
      </c>
      <c r="AE14" s="27">
        <v>0.6</v>
      </c>
      <c r="AF14" s="27">
        <f t="shared" si="8"/>
        <v>0.87</v>
      </c>
      <c r="AG14" s="27">
        <v>0.89900000000000002</v>
      </c>
      <c r="AH14" s="27"/>
      <c r="AI14" s="34"/>
    </row>
    <row r="15" spans="1:35" x14ac:dyDescent="0.3">
      <c r="A15" s="36"/>
      <c r="B15" s="36"/>
      <c r="C15" s="37"/>
      <c r="D15" s="37"/>
      <c r="E15" s="37"/>
      <c r="F15" s="37"/>
      <c r="G15" s="37"/>
      <c r="H15" s="37"/>
      <c r="I15" s="38"/>
      <c r="J15" s="36"/>
      <c r="K15" s="37">
        <f>AVERAGE(K3:K14)</f>
        <v>93.25</v>
      </c>
      <c r="L15" s="37">
        <f>AVERAGE(L3:L14)</f>
        <v>93.25</v>
      </c>
      <c r="M15" s="37"/>
      <c r="N15" s="37">
        <f>AVERAGE(N3:N14)</f>
        <v>93.25</v>
      </c>
      <c r="O15" s="39">
        <f>AVERAGE(O3:O14)</f>
        <v>83.994444444444426</v>
      </c>
      <c r="P15" s="39">
        <f>AVERAGE(P3:P14)</f>
        <v>91.666666666666671</v>
      </c>
      <c r="Q15" s="39">
        <f>AVERAGE(Q3:Q14)</f>
        <v>84.75</v>
      </c>
      <c r="R15" s="38"/>
      <c r="S15" s="40"/>
      <c r="T15" s="40"/>
      <c r="U15" s="40"/>
      <c r="V15" s="39"/>
      <c r="W15" s="41">
        <f>AVERAGE(W3:W14)</f>
        <v>0.86771111111111121</v>
      </c>
      <c r="X15" s="41">
        <f>AVERAGE(X3:X14)</f>
        <v>0.92141666666666655</v>
      </c>
      <c r="Y15" s="41">
        <f>AVERAGE(Y3:Y14)</f>
        <v>0.87299999999999989</v>
      </c>
      <c r="Z15" s="42"/>
      <c r="AA15" s="42"/>
      <c r="AB15" s="42"/>
      <c r="AC15" s="37"/>
      <c r="AD15" s="37"/>
      <c r="AE15" s="37"/>
      <c r="AF15" s="37">
        <f>AVERAGE(AF3:AF14)</f>
        <v>0.89916666666666645</v>
      </c>
      <c r="AG15" s="37"/>
      <c r="AH15" s="36"/>
      <c r="AI15" s="34"/>
    </row>
    <row r="16" spans="1:35" x14ac:dyDescent="0.3">
      <c r="O16" s="14"/>
      <c r="P16" s="14"/>
      <c r="Q16" s="14"/>
      <c r="V16" s="14"/>
      <c r="W16" s="15"/>
      <c r="X16" s="15"/>
      <c r="Y16" s="15"/>
      <c r="Z16" s="17"/>
      <c r="AA16" s="17"/>
      <c r="AB16" s="17"/>
    </row>
    <row r="17" spans="9:33" x14ac:dyDescent="0.3">
      <c r="O17" s="14"/>
      <c r="P17" s="14"/>
      <c r="Q17" s="14"/>
      <c r="V17" s="14"/>
      <c r="W17" s="15"/>
      <c r="X17" s="15"/>
      <c r="Y17" s="15"/>
      <c r="Z17" s="17"/>
      <c r="AA17" s="17"/>
      <c r="AB17" s="17"/>
    </row>
    <row r="18" spans="9:33" x14ac:dyDescent="0.3">
      <c r="O18" s="14"/>
      <c r="P18" s="14"/>
      <c r="Q18" s="14"/>
      <c r="V18" s="14"/>
      <c r="W18" s="15"/>
      <c r="X18" s="15"/>
      <c r="Y18" s="15"/>
      <c r="Z18" s="17"/>
      <c r="AA18" s="17"/>
      <c r="AB18" s="17"/>
    </row>
    <row r="19" spans="9:33" x14ac:dyDescent="0.3">
      <c r="O19" s="14"/>
      <c r="P19" s="14"/>
      <c r="Q19" s="14"/>
      <c r="V19" s="14"/>
      <c r="W19" s="15"/>
      <c r="X19" s="15"/>
      <c r="Y19" s="15"/>
      <c r="Z19" s="17"/>
      <c r="AA19" s="17"/>
      <c r="AB19" s="17"/>
    </row>
    <row r="20" spans="9:33" x14ac:dyDescent="0.3">
      <c r="O20" s="14"/>
      <c r="P20" s="14"/>
      <c r="Q20" s="14"/>
      <c r="V20" s="14"/>
      <c r="W20" s="15"/>
      <c r="X20" s="15"/>
      <c r="Y20" s="15"/>
      <c r="Z20" s="17"/>
      <c r="AA20" s="17"/>
      <c r="AB20" s="17"/>
    </row>
    <row r="21" spans="9:33" x14ac:dyDescent="0.3">
      <c r="O21" s="14"/>
      <c r="P21" s="14"/>
      <c r="Q21" s="14"/>
      <c r="V21" s="14"/>
      <c r="W21" s="15"/>
      <c r="X21" s="15"/>
      <c r="Y21" s="15"/>
      <c r="Z21" s="17"/>
      <c r="AA21" s="17"/>
      <c r="AB21" s="17"/>
    </row>
    <row r="22" spans="9:33" x14ac:dyDescent="0.3">
      <c r="O22" s="14"/>
      <c r="P22" s="14"/>
      <c r="Q22" s="14"/>
      <c r="V22" s="14"/>
      <c r="W22" s="15"/>
      <c r="X22" s="15"/>
      <c r="Y22" s="15"/>
      <c r="Z22" s="17"/>
      <c r="AA22" s="17"/>
      <c r="AB22" s="17"/>
    </row>
    <row r="23" spans="9:33" x14ac:dyDescent="0.3">
      <c r="O23" s="14"/>
      <c r="P23" s="14"/>
      <c r="Q23" s="14"/>
      <c r="V23" s="14"/>
      <c r="W23" s="15"/>
      <c r="X23" s="15"/>
      <c r="Y23" s="15"/>
      <c r="Z23" s="17"/>
      <c r="AA23" s="17"/>
      <c r="AB23" s="17"/>
    </row>
    <row r="24" spans="9:33" x14ac:dyDescent="0.3">
      <c r="O24" s="14"/>
      <c r="P24" s="14"/>
      <c r="Q24" s="14"/>
      <c r="V24" s="14"/>
      <c r="W24" s="15"/>
      <c r="X24" s="15"/>
      <c r="Y24" s="15"/>
      <c r="Z24" s="17"/>
      <c r="AA24" s="17"/>
      <c r="AB24" s="17"/>
    </row>
    <row r="25" spans="9:33" x14ac:dyDescent="0.3">
      <c r="O25" s="14"/>
      <c r="P25" s="14"/>
      <c r="Q25" s="14"/>
      <c r="V25" s="14"/>
      <c r="W25" s="15"/>
      <c r="X25" s="15"/>
      <c r="Y25" s="15"/>
      <c r="Z25" s="17"/>
      <c r="AA25" s="17"/>
      <c r="AB25" s="17"/>
    </row>
    <row r="26" spans="9:33" x14ac:dyDescent="0.3">
      <c r="O26" s="14"/>
      <c r="P26" s="14"/>
      <c r="Q26" s="14"/>
      <c r="V26" s="14"/>
      <c r="W26" s="15"/>
      <c r="X26" s="15"/>
      <c r="Y26" s="15"/>
      <c r="Z26" s="17"/>
      <c r="AA26" s="17"/>
      <c r="AB26" s="17"/>
    </row>
    <row r="27" spans="9:33" x14ac:dyDescent="0.3">
      <c r="O27" s="14"/>
      <c r="P27" s="14"/>
      <c r="Q27" s="14"/>
      <c r="V27" s="14"/>
      <c r="W27" s="15"/>
      <c r="X27" s="15"/>
      <c r="Y27" s="15"/>
      <c r="Z27" s="17"/>
      <c r="AA27" s="17"/>
      <c r="AB27" s="17"/>
    </row>
    <row r="28" spans="9:33" x14ac:dyDescent="0.3">
      <c r="O28" s="14"/>
      <c r="P28" s="14"/>
      <c r="Q28" s="14"/>
      <c r="V28" s="14"/>
      <c r="W28" s="15"/>
      <c r="X28" s="15"/>
      <c r="Y28" s="15"/>
      <c r="Z28" s="17"/>
      <c r="AA28" s="17"/>
      <c r="AB28" s="17"/>
    </row>
    <row r="29" spans="9:33" x14ac:dyDescent="0.3">
      <c r="O29" s="14"/>
      <c r="P29" s="14"/>
      <c r="Q29" s="14"/>
      <c r="V29" s="14"/>
      <c r="W29" s="15"/>
      <c r="X29" s="15"/>
      <c r="Y29" s="15"/>
      <c r="Z29" s="17"/>
      <c r="AA29" s="17"/>
      <c r="AB29" s="17"/>
    </row>
    <row r="30" spans="9:33" x14ac:dyDescent="0.3">
      <c r="O30" s="14"/>
      <c r="P30" s="14"/>
      <c r="Q30" s="14"/>
      <c r="V30" s="14"/>
      <c r="W30" s="15"/>
      <c r="X30" s="15"/>
      <c r="Y30" s="15"/>
      <c r="Z30" s="17"/>
      <c r="AA30" s="17"/>
      <c r="AB30" s="17"/>
    </row>
    <row r="31" spans="9:33" x14ac:dyDescent="0.3">
      <c r="I31"/>
      <c r="O31"/>
      <c r="P31"/>
      <c r="Q31"/>
      <c r="R31"/>
      <c r="S31"/>
      <c r="T31"/>
      <c r="U31"/>
      <c r="V31"/>
      <c r="AC31"/>
      <c r="AD31"/>
      <c r="AE31"/>
      <c r="AF31"/>
      <c r="AG31"/>
    </row>
    <row r="32" spans="9:33" x14ac:dyDescent="0.3">
      <c r="I32"/>
      <c r="O32"/>
      <c r="P32"/>
      <c r="Q32"/>
      <c r="R32"/>
      <c r="S32"/>
      <c r="T32"/>
      <c r="U32"/>
      <c r="V32"/>
      <c r="AC32"/>
      <c r="AD32"/>
      <c r="AE32"/>
      <c r="AF32"/>
      <c r="AG32"/>
    </row>
    <row r="33" spans="9:33" x14ac:dyDescent="0.3">
      <c r="I33"/>
      <c r="O33"/>
      <c r="P33"/>
      <c r="Q33"/>
      <c r="R33"/>
      <c r="S33"/>
      <c r="T33"/>
      <c r="U33"/>
      <c r="V33"/>
      <c r="AC33"/>
      <c r="AD33"/>
      <c r="AE33"/>
      <c r="AF33"/>
      <c r="AG33"/>
    </row>
    <row r="34" spans="9:33" x14ac:dyDescent="0.3">
      <c r="I34"/>
      <c r="O34"/>
      <c r="P34"/>
      <c r="Q34"/>
      <c r="R34"/>
      <c r="S34"/>
      <c r="T34"/>
      <c r="U34"/>
      <c r="V34"/>
      <c r="AC34"/>
      <c r="AD34"/>
      <c r="AE34"/>
      <c r="AF34"/>
      <c r="AG34"/>
    </row>
    <row r="35" spans="9:33" x14ac:dyDescent="0.3">
      <c r="I35"/>
      <c r="O35"/>
      <c r="P35"/>
      <c r="Q35"/>
      <c r="R35"/>
      <c r="S35"/>
      <c r="T35"/>
      <c r="U35"/>
      <c r="V35"/>
      <c r="AC35"/>
      <c r="AD35"/>
      <c r="AE35"/>
      <c r="AF35"/>
      <c r="AG35"/>
    </row>
    <row r="36" spans="9:33" x14ac:dyDescent="0.3">
      <c r="I36"/>
      <c r="O36"/>
      <c r="P36"/>
      <c r="Q36"/>
      <c r="R36"/>
      <c r="S36"/>
      <c r="T36"/>
      <c r="U36"/>
      <c r="V36"/>
      <c r="AC36"/>
      <c r="AD36"/>
      <c r="AE36"/>
      <c r="AF36"/>
      <c r="AG36"/>
    </row>
    <row r="37" spans="9:33" x14ac:dyDescent="0.3">
      <c r="I37"/>
      <c r="O37"/>
      <c r="P37"/>
      <c r="Q37"/>
      <c r="R37"/>
      <c r="S37"/>
      <c r="T37"/>
      <c r="U37"/>
      <c r="V37"/>
      <c r="AC37"/>
      <c r="AD37"/>
      <c r="AE37"/>
      <c r="AF37"/>
      <c r="AG37"/>
    </row>
    <row r="38" spans="9:33" x14ac:dyDescent="0.3">
      <c r="I38"/>
      <c r="O38"/>
      <c r="P38"/>
      <c r="Q38"/>
      <c r="R38"/>
      <c r="S38"/>
      <c r="T38"/>
      <c r="U38"/>
      <c r="V38"/>
      <c r="AC38"/>
      <c r="AD38"/>
      <c r="AE38"/>
      <c r="AF38"/>
      <c r="AG38"/>
    </row>
    <row r="39" spans="9:33" x14ac:dyDescent="0.3">
      <c r="I39"/>
      <c r="O39"/>
      <c r="P39"/>
      <c r="Q39"/>
      <c r="R39"/>
      <c r="S39"/>
      <c r="T39"/>
      <c r="U39"/>
      <c r="V39"/>
      <c r="AC39"/>
      <c r="AD39"/>
      <c r="AE39"/>
      <c r="AF39"/>
      <c r="AG39"/>
    </row>
    <row r="40" spans="9:33" x14ac:dyDescent="0.3">
      <c r="I40"/>
      <c r="O40"/>
      <c r="P40"/>
      <c r="Q40"/>
      <c r="R40"/>
      <c r="S40"/>
      <c r="T40"/>
      <c r="U40"/>
      <c r="V40"/>
      <c r="AC40"/>
      <c r="AD40"/>
      <c r="AE40"/>
      <c r="AF40"/>
      <c r="AG40"/>
    </row>
    <row r="41" spans="9:33" x14ac:dyDescent="0.3">
      <c r="I41"/>
      <c r="O41"/>
      <c r="P41"/>
      <c r="Q41"/>
      <c r="R41"/>
      <c r="S41"/>
      <c r="T41"/>
      <c r="U41"/>
      <c r="V41"/>
      <c r="AC41"/>
      <c r="AD41"/>
      <c r="AE41"/>
      <c r="AF41"/>
      <c r="AG41"/>
    </row>
    <row r="42" spans="9:33" x14ac:dyDescent="0.3">
      <c r="I42"/>
      <c r="O42"/>
      <c r="P42"/>
      <c r="Q42"/>
      <c r="R42"/>
      <c r="S42"/>
      <c r="T42"/>
      <c r="U42"/>
      <c r="V42"/>
      <c r="AC42"/>
      <c r="AD42"/>
      <c r="AE42"/>
      <c r="AF42"/>
      <c r="AG42"/>
    </row>
    <row r="43" spans="9:33" x14ac:dyDescent="0.3">
      <c r="I43"/>
      <c r="O43"/>
      <c r="P43"/>
      <c r="Q43"/>
      <c r="R43"/>
      <c r="S43"/>
      <c r="T43"/>
      <c r="U43"/>
      <c r="V43"/>
      <c r="AC43"/>
      <c r="AD43"/>
      <c r="AE43"/>
      <c r="AF43"/>
      <c r="AG43"/>
    </row>
    <row r="44" spans="9:33" x14ac:dyDescent="0.3">
      <c r="I44"/>
      <c r="O44"/>
      <c r="P44"/>
      <c r="Q44"/>
      <c r="R44"/>
      <c r="S44"/>
      <c r="T44"/>
      <c r="U44"/>
      <c r="V44"/>
      <c r="AC44"/>
      <c r="AD44"/>
      <c r="AE44"/>
      <c r="AF44"/>
      <c r="AG44"/>
    </row>
    <row r="45" spans="9:33" x14ac:dyDescent="0.3">
      <c r="I45"/>
      <c r="O45"/>
      <c r="P45"/>
      <c r="Q45"/>
      <c r="R45"/>
      <c r="S45"/>
      <c r="T45"/>
      <c r="U45"/>
      <c r="V45"/>
      <c r="AC45"/>
      <c r="AD45"/>
      <c r="AE45"/>
      <c r="AF45"/>
      <c r="AG45"/>
    </row>
    <row r="46" spans="9:33" x14ac:dyDescent="0.3">
      <c r="I46"/>
      <c r="O46"/>
      <c r="P46"/>
      <c r="Q46"/>
      <c r="R46"/>
      <c r="S46"/>
      <c r="T46"/>
      <c r="U46"/>
      <c r="V46"/>
      <c r="AC46"/>
      <c r="AD46"/>
      <c r="AE46"/>
      <c r="AF46"/>
      <c r="AG46"/>
    </row>
    <row r="47" spans="9:33" x14ac:dyDescent="0.3">
      <c r="I47"/>
      <c r="O47"/>
      <c r="P47"/>
      <c r="Q47"/>
      <c r="R47"/>
      <c r="S47"/>
      <c r="T47"/>
      <c r="U47"/>
      <c r="V47"/>
      <c r="AC47"/>
      <c r="AD47"/>
      <c r="AE47"/>
      <c r="AF47"/>
      <c r="AG47"/>
    </row>
    <row r="48" spans="9:33" x14ac:dyDescent="0.3">
      <c r="I48"/>
      <c r="O48"/>
      <c r="P48"/>
      <c r="Q48"/>
      <c r="R48"/>
      <c r="S48"/>
      <c r="T48"/>
      <c r="U48"/>
      <c r="V48"/>
      <c r="AC48"/>
      <c r="AD48"/>
      <c r="AE48"/>
      <c r="AF48"/>
      <c r="AG48"/>
    </row>
    <row r="49" spans="9:40" x14ac:dyDescent="0.3">
      <c r="I49"/>
      <c r="O49"/>
      <c r="P49"/>
      <c r="Q49"/>
      <c r="R49"/>
      <c r="S49"/>
      <c r="T49"/>
      <c r="U49"/>
      <c r="V49"/>
      <c r="AC49"/>
      <c r="AD49"/>
      <c r="AE49"/>
      <c r="AF49"/>
      <c r="AG49"/>
    </row>
    <row r="50" spans="9:40" x14ac:dyDescent="0.3">
      <c r="I50"/>
      <c r="O50"/>
      <c r="P50"/>
      <c r="Q50"/>
      <c r="R50"/>
      <c r="S50"/>
      <c r="T50"/>
      <c r="U50"/>
      <c r="V50"/>
      <c r="AC50"/>
      <c r="AD50"/>
      <c r="AE50"/>
      <c r="AF50"/>
      <c r="AG50"/>
    </row>
    <row r="51" spans="9:40" x14ac:dyDescent="0.3">
      <c r="I51"/>
      <c r="O51"/>
      <c r="P51"/>
      <c r="Q51"/>
      <c r="R51"/>
      <c r="S51"/>
      <c r="T51"/>
      <c r="U51"/>
      <c r="V51"/>
      <c r="AC51"/>
      <c r="AD51"/>
      <c r="AE51"/>
      <c r="AF51"/>
      <c r="AG51"/>
    </row>
    <row r="52" spans="9:40" x14ac:dyDescent="0.3">
      <c r="I52"/>
      <c r="O52"/>
      <c r="P52"/>
      <c r="Q52"/>
      <c r="R52"/>
      <c r="S52"/>
      <c r="T52"/>
      <c r="U52"/>
      <c r="V52"/>
      <c r="AC52"/>
      <c r="AD52"/>
      <c r="AE52"/>
      <c r="AF52"/>
      <c r="AG52"/>
    </row>
    <row r="53" spans="9:40" ht="15" x14ac:dyDescent="0.3">
      <c r="I53"/>
      <c r="O53"/>
      <c r="P53"/>
      <c r="Q53"/>
      <c r="R53"/>
      <c r="S53"/>
      <c r="T53"/>
      <c r="U53"/>
      <c r="V53"/>
      <c r="AC53"/>
      <c r="AD53"/>
      <c r="AE53"/>
      <c r="AF53"/>
      <c r="AG53"/>
      <c r="AM53" s="21"/>
      <c r="AN53" s="21"/>
    </row>
    <row r="54" spans="9:40" ht="15" x14ac:dyDescent="0.3">
      <c r="I54"/>
      <c r="O54"/>
      <c r="P54"/>
      <c r="Q54"/>
      <c r="R54"/>
      <c r="S54"/>
      <c r="T54"/>
      <c r="U54"/>
      <c r="V54"/>
      <c r="AC54"/>
      <c r="AD54"/>
      <c r="AE54"/>
      <c r="AF54"/>
      <c r="AG54"/>
      <c r="AM54" s="18"/>
      <c r="AN54" s="18"/>
    </row>
    <row r="55" spans="9:40" ht="15" x14ac:dyDescent="0.3">
      <c r="I55"/>
      <c r="O55"/>
      <c r="P55"/>
      <c r="Q55"/>
      <c r="R55"/>
      <c r="S55"/>
      <c r="T55"/>
      <c r="U55"/>
      <c r="V55"/>
      <c r="AC55"/>
      <c r="AD55"/>
      <c r="AE55"/>
      <c r="AF55"/>
      <c r="AG55"/>
      <c r="AM55" s="18"/>
      <c r="AN55" s="19"/>
    </row>
    <row r="56" spans="9:40" ht="15" x14ac:dyDescent="0.3">
      <c r="I56"/>
      <c r="O56"/>
      <c r="P56"/>
      <c r="Q56"/>
      <c r="R56"/>
      <c r="S56"/>
      <c r="T56"/>
      <c r="U56"/>
      <c r="V56"/>
      <c r="AC56"/>
      <c r="AD56"/>
      <c r="AE56"/>
      <c r="AF56"/>
      <c r="AG56"/>
      <c r="AM56" s="18"/>
      <c r="AN56" s="19"/>
    </row>
    <row r="57" spans="9:40" x14ac:dyDescent="0.3">
      <c r="I57"/>
      <c r="O57"/>
      <c r="P57"/>
      <c r="Q57"/>
      <c r="R57"/>
      <c r="S57"/>
      <c r="T57"/>
      <c r="U57"/>
      <c r="V57"/>
      <c r="AC57"/>
      <c r="AD57"/>
      <c r="AE57"/>
      <c r="AF57"/>
      <c r="AG57"/>
    </row>
    <row r="58" spans="9:40" x14ac:dyDescent="0.3">
      <c r="I58"/>
      <c r="O58"/>
      <c r="P58"/>
      <c r="Q58"/>
      <c r="R58"/>
      <c r="S58"/>
      <c r="T58"/>
      <c r="U58"/>
      <c r="V58"/>
      <c r="AC58"/>
      <c r="AD58"/>
      <c r="AE58"/>
      <c r="AF58"/>
      <c r="AG58"/>
    </row>
    <row r="59" spans="9:40" x14ac:dyDescent="0.3">
      <c r="I59"/>
      <c r="O59"/>
      <c r="P59"/>
      <c r="Q59"/>
      <c r="R59"/>
      <c r="S59"/>
      <c r="T59"/>
      <c r="U59"/>
      <c r="V59"/>
      <c r="AC59"/>
      <c r="AD59"/>
      <c r="AE59"/>
      <c r="AF59"/>
      <c r="AG59"/>
    </row>
    <row r="60" spans="9:40" x14ac:dyDescent="0.3">
      <c r="I60"/>
      <c r="O60"/>
      <c r="P60"/>
      <c r="Q60"/>
      <c r="R60"/>
      <c r="S60"/>
      <c r="T60"/>
      <c r="U60"/>
      <c r="V60"/>
      <c r="AC60"/>
      <c r="AD60"/>
      <c r="AE60"/>
      <c r="AF60"/>
      <c r="AG60"/>
    </row>
    <row r="61" spans="9:40" x14ac:dyDescent="0.3">
      <c r="I61"/>
      <c r="O61"/>
      <c r="P61"/>
      <c r="Q61"/>
      <c r="R61"/>
      <c r="S61"/>
      <c r="T61"/>
      <c r="U61"/>
      <c r="V61"/>
      <c r="AC61"/>
      <c r="AD61"/>
      <c r="AE61"/>
      <c r="AF61"/>
      <c r="AG61"/>
    </row>
    <row r="62" spans="9:40" x14ac:dyDescent="0.3">
      <c r="I62"/>
      <c r="O62"/>
      <c r="P62"/>
      <c r="Q62"/>
      <c r="R62"/>
      <c r="S62"/>
      <c r="T62"/>
      <c r="U62"/>
      <c r="V62"/>
      <c r="AC62"/>
      <c r="AD62"/>
      <c r="AE62"/>
      <c r="AF62"/>
      <c r="AG62"/>
    </row>
    <row r="63" spans="9:40" x14ac:dyDescent="0.3">
      <c r="I63"/>
      <c r="O63"/>
      <c r="P63"/>
      <c r="Q63"/>
      <c r="R63"/>
      <c r="S63"/>
      <c r="T63"/>
      <c r="U63"/>
      <c r="V63"/>
      <c r="AC63"/>
      <c r="AD63"/>
      <c r="AE63"/>
      <c r="AF63"/>
      <c r="AG63"/>
    </row>
    <row r="64" spans="9:40" x14ac:dyDescent="0.3">
      <c r="I64"/>
      <c r="O64"/>
      <c r="P64"/>
      <c r="Q64"/>
      <c r="R64"/>
      <c r="S64"/>
      <c r="T64"/>
      <c r="U64"/>
      <c r="V64"/>
      <c r="AC64"/>
      <c r="AD64"/>
      <c r="AE64"/>
      <c r="AF64"/>
      <c r="AG64"/>
    </row>
    <row r="65" spans="9:33" x14ac:dyDescent="0.3">
      <c r="I65"/>
      <c r="O65"/>
      <c r="P65"/>
      <c r="Q65"/>
      <c r="R65"/>
      <c r="S65"/>
      <c r="T65"/>
      <c r="U65"/>
      <c r="V65"/>
      <c r="AC65"/>
      <c r="AD65"/>
      <c r="AE65"/>
      <c r="AF65"/>
      <c r="AG65"/>
    </row>
    <row r="66" spans="9:33" x14ac:dyDescent="0.3">
      <c r="I66"/>
      <c r="O66"/>
      <c r="P66"/>
      <c r="Q66"/>
      <c r="R66"/>
      <c r="S66"/>
      <c r="T66"/>
      <c r="U66"/>
      <c r="V66"/>
      <c r="AC66"/>
      <c r="AD66"/>
      <c r="AE66"/>
      <c r="AF66"/>
      <c r="AG66"/>
    </row>
    <row r="67" spans="9:33" x14ac:dyDescent="0.3">
      <c r="I67"/>
      <c r="O67"/>
      <c r="P67"/>
      <c r="Q67"/>
      <c r="R67"/>
      <c r="S67"/>
      <c r="T67"/>
      <c r="U67"/>
      <c r="V67"/>
      <c r="AC67"/>
      <c r="AD67"/>
      <c r="AE67"/>
      <c r="AF67"/>
      <c r="AG67"/>
    </row>
    <row r="68" spans="9:33" x14ac:dyDescent="0.3">
      <c r="I68"/>
      <c r="O68"/>
      <c r="P68"/>
      <c r="Q68"/>
      <c r="R68"/>
      <c r="S68"/>
      <c r="T68"/>
      <c r="U68"/>
      <c r="V68"/>
      <c r="AC68"/>
      <c r="AD68"/>
      <c r="AE68"/>
      <c r="AF68"/>
      <c r="AG68"/>
    </row>
    <row r="69" spans="9:33" x14ac:dyDescent="0.3">
      <c r="I69"/>
      <c r="O69"/>
      <c r="P69"/>
      <c r="Q69"/>
      <c r="R69"/>
      <c r="S69"/>
      <c r="T69"/>
      <c r="U69"/>
      <c r="V69"/>
      <c r="AC69"/>
      <c r="AD69"/>
      <c r="AE69"/>
      <c r="AF69"/>
      <c r="AG69"/>
    </row>
    <row r="70" spans="9:33" x14ac:dyDescent="0.3">
      <c r="I70"/>
      <c r="O70"/>
      <c r="P70"/>
      <c r="Q70"/>
      <c r="R70"/>
      <c r="S70"/>
      <c r="T70"/>
      <c r="U70"/>
      <c r="V70"/>
      <c r="AC70"/>
      <c r="AD70"/>
      <c r="AE70"/>
      <c r="AF70"/>
      <c r="AG70"/>
    </row>
    <row r="71" spans="9:33" ht="20.149999999999999" customHeight="1" x14ac:dyDescent="0.3">
      <c r="O71"/>
      <c r="P71"/>
      <c r="Q71"/>
      <c r="R71"/>
      <c r="S71"/>
      <c r="T71"/>
      <c r="U71"/>
      <c r="V71"/>
      <c r="AC71"/>
      <c r="AD71"/>
      <c r="AE71"/>
      <c r="AF71"/>
      <c r="AG71"/>
    </row>
    <row r="72" spans="9:33" ht="20.149999999999999" customHeight="1" x14ac:dyDescent="0.3"/>
    <row r="73" spans="9:33" ht="20.149999999999999" customHeight="1" x14ac:dyDescent="0.3"/>
    <row r="74" spans="9:33" ht="20.149999999999999" customHeight="1" x14ac:dyDescent="0.3"/>
    <row r="75" spans="9:33" ht="20.149999999999999" customHeight="1" x14ac:dyDescent="0.3"/>
  </sheetData>
  <sortState xmlns:xlrd2="http://schemas.microsoft.com/office/spreadsheetml/2017/richdata2" ref="A3:AG54">
    <sortCondition ref="Y3:Y54"/>
  </sortState>
  <mergeCells count="7">
    <mergeCell ref="AC1:AE1"/>
    <mergeCell ref="AM53:AN53"/>
    <mergeCell ref="K1:N1"/>
    <mergeCell ref="O1:R1"/>
    <mergeCell ref="S1:V1"/>
    <mergeCell ref="W1:Y1"/>
    <mergeCell ref="Z1:AB1"/>
  </mergeCells>
  <phoneticPr fontId="11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FF00"/>
  </sheetPr>
  <dimension ref="A1:H7"/>
  <sheetViews>
    <sheetView topLeftCell="L4" workbookViewId="0">
      <selection activeCell="B50" sqref="B50"/>
    </sheetView>
  </sheetViews>
  <sheetFormatPr defaultColWidth="8.84375" defaultRowHeight="14.15" x14ac:dyDescent="0.3"/>
  <cols>
    <col min="1" max="1" width="11.3828125" customWidth="1"/>
    <col min="2" max="2" width="11.53515625" customWidth="1"/>
  </cols>
  <sheetData>
    <row r="1" spans="1:8" x14ac:dyDescent="0.3">
      <c r="C1" s="24" t="s">
        <v>17</v>
      </c>
      <c r="D1" s="24"/>
      <c r="E1" s="24" t="s">
        <v>18</v>
      </c>
      <c r="F1" s="24"/>
      <c r="G1" s="24" t="s">
        <v>19</v>
      </c>
      <c r="H1" s="24"/>
    </row>
    <row r="2" spans="1:8" x14ac:dyDescent="0.3">
      <c r="B2" t="s">
        <v>22</v>
      </c>
      <c r="C2" s="1" t="s">
        <v>23</v>
      </c>
      <c r="D2" s="1" t="s">
        <v>24</v>
      </c>
      <c r="E2" s="1" t="s">
        <v>23</v>
      </c>
      <c r="F2" s="1" t="s">
        <v>24</v>
      </c>
      <c r="G2" s="1" t="s">
        <v>23</v>
      </c>
      <c r="H2" s="1" t="s">
        <v>24</v>
      </c>
    </row>
    <row r="3" spans="1:8" x14ac:dyDescent="0.3">
      <c r="A3" s="2" t="s">
        <v>25</v>
      </c>
      <c r="B3" t="s">
        <v>26</v>
      </c>
      <c r="C3">
        <v>37</v>
      </c>
      <c r="D3" s="3">
        <f>C3/37</f>
        <v>1</v>
      </c>
      <c r="E3">
        <v>0</v>
      </c>
      <c r="F3" s="3">
        <f>E3/37</f>
        <v>0</v>
      </c>
      <c r="G3">
        <v>35</v>
      </c>
      <c r="H3" s="3">
        <f>G3/37</f>
        <v>0.94594594594594605</v>
      </c>
    </row>
    <row r="4" spans="1:8" x14ac:dyDescent="0.3">
      <c r="A4" s="2" t="s">
        <v>27</v>
      </c>
      <c r="B4" t="s">
        <v>28</v>
      </c>
      <c r="C4">
        <v>0</v>
      </c>
      <c r="D4" s="3">
        <f>C4/37</f>
        <v>0</v>
      </c>
      <c r="E4">
        <v>37</v>
      </c>
      <c r="F4" s="3">
        <f>E4/37</f>
        <v>1</v>
      </c>
      <c r="G4">
        <v>2</v>
      </c>
      <c r="H4" s="3">
        <f>G4/37</f>
        <v>5.4054054054054099E-2</v>
      </c>
    </row>
    <row r="5" spans="1:8" x14ac:dyDescent="0.3">
      <c r="A5" s="2" t="s">
        <v>29</v>
      </c>
      <c r="B5" t="s">
        <v>30</v>
      </c>
      <c r="C5">
        <v>0</v>
      </c>
      <c r="D5" s="3">
        <f>C5/37</f>
        <v>0</v>
      </c>
      <c r="E5">
        <v>0</v>
      </c>
      <c r="F5" s="3">
        <f>E5/37</f>
        <v>0</v>
      </c>
      <c r="G5">
        <v>0</v>
      </c>
      <c r="H5" s="3">
        <f>G5/37</f>
        <v>0</v>
      </c>
    </row>
    <row r="6" spans="1:8" x14ac:dyDescent="0.3">
      <c r="A6" s="2" t="s">
        <v>31</v>
      </c>
      <c r="B6" t="s">
        <v>32</v>
      </c>
      <c r="C6">
        <v>0</v>
      </c>
      <c r="D6" s="3">
        <f>C6/37</f>
        <v>0</v>
      </c>
      <c r="E6">
        <v>0</v>
      </c>
      <c r="F6" s="3">
        <f>E6/37</f>
        <v>0</v>
      </c>
      <c r="G6">
        <v>0</v>
      </c>
      <c r="H6" s="3">
        <f>G6/37</f>
        <v>0</v>
      </c>
    </row>
    <row r="7" spans="1:8" x14ac:dyDescent="0.3">
      <c r="A7" s="2" t="s">
        <v>33</v>
      </c>
      <c r="B7" t="s">
        <v>34</v>
      </c>
      <c r="C7">
        <v>0</v>
      </c>
      <c r="D7" s="3">
        <f>C7/37</f>
        <v>0</v>
      </c>
      <c r="E7">
        <v>0</v>
      </c>
      <c r="F7" s="3">
        <f>E7/37</f>
        <v>0</v>
      </c>
      <c r="G7">
        <v>0</v>
      </c>
      <c r="H7" s="3">
        <f>G7/37</f>
        <v>0</v>
      </c>
    </row>
  </sheetData>
  <mergeCells count="3">
    <mergeCell ref="C1:D1"/>
    <mergeCell ref="E1:F1"/>
    <mergeCell ref="G1:H1"/>
  </mergeCells>
  <phoneticPr fontId="1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课程目标达成度计算</vt:lpstr>
      <vt:lpstr>达成度统计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25880</dc:creator>
  <cp:lastModifiedBy>岳 何</cp:lastModifiedBy>
  <dcterms:created xsi:type="dcterms:W3CDTF">2020-04-13T13:03:00Z</dcterms:created>
  <dcterms:modified xsi:type="dcterms:W3CDTF">2026-02-14T04:33:44Z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739AB9CE82C841C99FB384AEFFE65EA7_13</vt:lpwstr>
  </property>
</Properties>
</file>